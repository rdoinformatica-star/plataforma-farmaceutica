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roposta_SKU" sheetId="2" state="visible" r:id="rId2"/>
    <sheet name="Energrip_PopKd" sheetId="3" state="visible" r:id="rId3"/>
    <sheet name="Acoes_Investim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R$ #,##0"/>
    <numFmt numFmtId="166" formatCode="#,##0&quot; d&quot;"/>
    <numFmt numFmtId="167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B5F62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E99"/>
      <sz val="10"/>
    </font>
    <font>
      <name val="Arial"/>
      <b val="1"/>
      <sz val="10"/>
    </font>
    <font>
      <name val="Arial"/>
      <b val="1"/>
      <color rgb="001B3A5C"/>
      <sz val="12"/>
    </font>
    <font>
      <name val="Arial"/>
      <sz val="10"/>
    </font>
    <font>
      <name val="Arial"/>
      <b val="1"/>
      <color rgb="001B3A5C"/>
      <sz val="18"/>
    </font>
    <font>
      <name val="Arial"/>
      <color rgb="006B5F62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F6D9"/>
      </patternFill>
    </fill>
    <fill>
      <patternFill patternType="solid">
        <fgColor rgb="00F5EEDC"/>
      </patternFill>
    </fill>
    <fill>
      <patternFill patternType="solid">
        <fgColor rgb="00F7E8D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0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165" fontId="9" fillId="0" borderId="0" applyAlignment="1" pivotButton="0" quotePrefix="0" xfId="0">
      <alignment horizontal="left" vertical="bottom"/>
    </xf>
    <xf numFmtId="3" fontId="9" fillId="0" borderId="0" applyAlignment="1" pivotButton="0" quotePrefix="0" xfId="0">
      <alignment horizontal="left" vertical="bottom"/>
    </xf>
    <xf numFmtId="0" fontId="10" fillId="0" borderId="0" pivotButton="0" quotePrefix="0" xfId="0"/>
    <xf numFmtId="0" fontId="8" fillId="0" borderId="0" pivotButton="0" quotePrefix="0" xfId="0"/>
    <xf numFmtId="166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0" fontId="0" fillId="6" borderId="1" pivotButton="0" quotePrefix="0" xfId="0"/>
    <xf numFmtId="3" fontId="0" fillId="6" borderId="1" pivotButton="0" quotePrefix="0" xfId="0"/>
    <xf numFmtId="165" fontId="0" fillId="6" borderId="1" pivotButton="0" quotePrefix="0" xfId="0"/>
    <xf numFmtId="0" fontId="2" fillId="6" borderId="1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3" fontId="5" fillId="0" borderId="1" pivotButton="0" quotePrefix="0" xfId="0"/>
    <xf numFmtId="0" fontId="4" fillId="6" borderId="1" pivotButton="0" quotePrefix="0" xfId="0"/>
    <xf numFmtId="164" fontId="0" fillId="6" borderId="1" pivotButton="0" quotePrefix="0" xfId="0"/>
    <xf numFmtId="166" fontId="0" fillId="6" borderId="1" pivotButton="0" quotePrefix="0" xfId="0"/>
    <xf numFmtId="3" fontId="5" fillId="3" borderId="1" pivotButton="0" quotePrefix="0" xfId="0"/>
    <xf numFmtId="0" fontId="4" fillId="4" borderId="1" pivotButton="0" quotePrefix="0" xfId="0"/>
    <xf numFmtId="164" fontId="0" fillId="4" borderId="1" pivotButton="0" quotePrefix="0" xfId="0"/>
    <xf numFmtId="3" fontId="0" fillId="4" borderId="1" pivotButton="0" quotePrefix="0" xfId="0"/>
    <xf numFmtId="165" fontId="0" fillId="4" borderId="1" pivotButton="0" quotePrefix="0" xfId="0"/>
    <xf numFmtId="166" fontId="0" fillId="4" borderId="1" pivotButton="0" quotePrefix="0" xfId="0"/>
    <xf numFmtId="0" fontId="0" fillId="4" borderId="1" pivotButton="0" quotePrefix="0" xfId="0"/>
    <xf numFmtId="0" fontId="2" fillId="4" borderId="1" pivotButton="0" quotePrefix="0" xfId="0"/>
    <xf numFmtId="0" fontId="4" fillId="5" borderId="1" pivotButton="0" quotePrefix="0" xfId="0"/>
    <xf numFmtId="164" fontId="0" fillId="5" borderId="1" pivotButton="0" quotePrefix="0" xfId="0"/>
    <xf numFmtId="3" fontId="0" fillId="5" borderId="1" pivotButton="0" quotePrefix="0" xfId="0"/>
    <xf numFmtId="165" fontId="0" fillId="5" borderId="1" pivotButton="0" quotePrefix="0" xfId="0"/>
    <xf numFmtId="166" fontId="0" fillId="5" borderId="1" pivotButton="0" quotePrefix="0" xfId="0"/>
    <xf numFmtId="0" fontId="0" fillId="5" borderId="1" pivotButton="0" quotePrefix="0" xfId="0"/>
    <xf numFmtId="0" fontId="2" fillId="5" borderId="1" pivotButton="0" quotePrefix="0" xfId="0"/>
    <xf numFmtId="0" fontId="6" fillId="6" borderId="1" pivotButton="0" quotePrefix="0" xfId="0"/>
    <xf numFmtId="165" fontId="6" fillId="6" borderId="1" pivotButton="0" quotePrefix="0" xfId="0"/>
    <xf numFmtId="3" fontId="6" fillId="6" borderId="1" pivotButton="0" quotePrefix="0" xfId="0"/>
    <xf numFmtId="0" fontId="6" fillId="0" borderId="1" pivotButton="0" quotePrefix="0" xfId="0"/>
    <xf numFmtId="165" fontId="6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30" customWidth="1" min="6" max="6"/>
  </cols>
  <sheetData>
    <row r="1" ht="30" customHeight="1">
      <c r="A1" s="1" t="inlineStr">
        <is>
          <t>Proposta de Abastecimento — EMEFARMA (RJ)</t>
        </is>
      </c>
      <c r="B1" s="2" t="n"/>
      <c r="C1" s="2" t="n"/>
      <c r="D1" s="2" t="n"/>
      <c r="E1" s="2" t="n"/>
      <c r="F1" s="2" t="n"/>
    </row>
    <row r="2" ht="8" customHeight="1">
      <c r="A2" s="2" t="n"/>
      <c r="B2" s="2" t="n"/>
      <c r="C2" s="2" t="n"/>
      <c r="D2" s="2" t="n"/>
      <c r="E2" s="2" t="n"/>
      <c r="F2" s="2" t="n"/>
    </row>
    <row r="3" ht="20" customHeight="1">
      <c r="A3" s="3" t="inlineStr">
        <is>
          <t>Linha Vitamedic cadastrada no cliente · base de estoque 20/08/2026 · Vitamedic Trade Marketing</t>
        </is>
      </c>
    </row>
    <row r="5">
      <c r="A5" s="4" t="inlineStr">
        <is>
          <t>Premissas do modelo (editaveis)</t>
        </is>
      </c>
    </row>
    <row r="6">
      <c r="A6" s="5" t="inlineStr">
        <is>
          <t>Aporte total proposto (R$)</t>
        </is>
      </c>
      <c r="B6" s="6" t="n">
        <v>450000</v>
      </c>
    </row>
    <row r="7">
      <c r="A7" s="5" t="inlineStr">
        <is>
          <t>DDE-alvo pos-compra (dias)</t>
        </is>
      </c>
      <c r="B7" s="7" t="n">
        <v>120</v>
      </c>
    </row>
    <row r="8">
      <c r="A8" s="5" t="inlineStr">
        <is>
          <t>Teto de concentracao por SKU (%)</t>
        </is>
      </c>
      <c r="B8" s="8" t="n">
        <v>0.2</v>
      </c>
    </row>
    <row r="9">
      <c r="A9" s="5" t="inlineStr">
        <is>
          <t>Cobertura maxima elegivel p/ compra (dias)</t>
        </is>
      </c>
      <c r="B9" s="7" t="n">
        <v>180</v>
      </c>
    </row>
    <row r="10">
      <c r="A10" s="3" t="inlineStr">
        <is>
          <t>* As colunas J-M da aba Proposta_SKU foram calculadas fora da planilha (modelo de alocacao com teto por SKU) e entram como valores em I; mudar as premissas acima nao re-executa o modelo de alocacao automaticamente, mas recalcula elegibilidade e todos os totais.</t>
        </is>
      </c>
    </row>
    <row r="12">
      <c r="A12" s="4" t="inlineStr">
        <is>
          <t>Resultado da proposta</t>
        </is>
      </c>
    </row>
    <row r="13">
      <c r="A13" s="9">
        <f>SUM(Proposta_SKU!J5:J134)</f>
        <v/>
      </c>
      <c r="B13" s="9">
        <f>SUM(Proposta_SKU!E5:E134)</f>
        <v/>
      </c>
      <c r="C13" s="9">
        <f>SUM(Proposta_SKU!L5:L134)</f>
        <v/>
      </c>
      <c r="D13" s="10">
        <f>COUNTIF(Proposta_SKU!I5:I134,"&gt;0")</f>
        <v/>
      </c>
    </row>
    <row r="14"/>
    <row r="15">
      <c r="A15" s="11" t="inlineStr">
        <is>
          <t>Compra proposta</t>
        </is>
      </c>
      <c r="B15" s="11" t="inlineStr">
        <is>
          <t>Estoque atual (130 SKUs)</t>
        </is>
      </c>
      <c r="C15" s="11" t="inlineStr">
        <is>
          <t>Estoque projetado</t>
        </is>
      </c>
      <c r="D15" s="11" t="inlineStr">
        <is>
          <t>SKUs contemplados</t>
        </is>
      </c>
    </row>
    <row r="17">
      <c r="A17" s="4" t="inlineStr">
        <is>
          <t>Cobertura media ponderada (DDE) - SKUs com compra &gt; 0</t>
        </is>
      </c>
    </row>
    <row r="18">
      <c r="A18" s="12" t="inlineStr">
        <is>
          <t>Antes do aporte</t>
        </is>
      </c>
      <c r="B18" s="13">
        <f>SUMPRODUCT((Proposta_SKU!I5:I134&gt;0)*Proposta_SKU!F5:F134*Proposta_SKU!E5:E134)/SUMPRODUCT((Proposta_SKU!I5:I134&gt;0)*Proposta_SKU!E5:E134)</f>
        <v/>
      </c>
    </row>
    <row r="19">
      <c r="A19" s="12" t="inlineStr">
        <is>
          <t>Depois do aporte</t>
        </is>
      </c>
      <c r="B19" s="13">
        <f>SUMPRODUCT((Proposta_SKU!I5:I134&gt;0)*Proposta_SKU!M5:M134*Proposta_SKU!L5:L134)/SUMPRODUCT((Proposta_SKU!I5:I134&gt;0)*Proposta_SKU!L5:L134)</f>
        <v/>
      </c>
    </row>
    <row r="21">
      <c r="A21" s="4" t="inlineStr">
        <is>
          <t>Distribuicao do aporte por tier</t>
        </is>
      </c>
    </row>
    <row r="22" ht="26" customHeight="1">
      <c r="A22" s="14" t="inlineStr">
        <is>
          <t>Tier</t>
        </is>
      </c>
      <c r="B22" s="14" t="inlineStr">
        <is>
          <t>SKUs</t>
        </is>
      </c>
      <c r="C22" s="14" t="inlineStr">
        <is>
          <t>Estoque atual</t>
        </is>
      </c>
      <c r="D22" s="14" t="inlineStr">
        <is>
          <t>Compra proposta</t>
        </is>
      </c>
      <c r="E22" s="14" t="inlineStr">
        <is>
          <t>Estoque final</t>
        </is>
      </c>
      <c r="F22" s="14" t="inlineStr">
        <is>
          <t>Regra aplicada</t>
        </is>
      </c>
    </row>
    <row r="23">
      <c r="A23" s="15" t="inlineStr">
        <is>
          <t>Saudável</t>
        </is>
      </c>
      <c r="B23" s="16">
        <f>COUNTIF(Proposta_SKU!$B$5:$B$134,"Saudável")</f>
        <v/>
      </c>
      <c r="C23" s="17">
        <f>SUMIF(Proposta_SKU!$B$5:$B$134,"Saudável",Proposta_SKU!$E$5:$E$134)</f>
        <v/>
      </c>
      <c r="D23" s="17">
        <f>SUMIF(Proposta_SKU!$B$5:$B$134,"Saudável",Proposta_SKU!$J$5:$J$134)</f>
        <v/>
      </c>
      <c r="E23" s="17">
        <f>SUMIF(Proposta_SKU!$B$5:$B$134,"Saudável",Proposta_SKU!$L$5:$L$134)</f>
        <v/>
      </c>
      <c r="F23" s="18" t="inlineStr">
        <is>
          <t>&lt; 60 dias - giro rapido, repor normalmente</t>
        </is>
      </c>
    </row>
    <row r="24">
      <c r="A24" s="19" t="inlineStr">
        <is>
          <t>Atenção</t>
        </is>
      </c>
      <c r="B24" s="20">
        <f>COUNTIF(Proposta_SKU!$B$5:$B$134,"Atenção")</f>
        <v/>
      </c>
      <c r="C24" s="21">
        <f>SUMIF(Proposta_SKU!$B$5:$B$134,"Atenção",Proposta_SKU!$E$5:$E$134)</f>
        <v/>
      </c>
      <c r="D24" s="21">
        <f>SUMIF(Proposta_SKU!$B$5:$B$134,"Atenção",Proposta_SKU!$J$5:$J$134)</f>
        <v/>
      </c>
      <c r="E24" s="21">
        <f>SUMIF(Proposta_SKU!$B$5:$B$134,"Atenção",Proposta_SKU!$L$5:$L$134)</f>
        <v/>
      </c>
      <c r="F24" s="22" t="inlineStr">
        <is>
          <t>60-120 dias - repor ate perto do DDE-alvo</t>
        </is>
      </c>
    </row>
    <row r="25">
      <c r="A25" s="15" t="inlineStr">
        <is>
          <t>Alto</t>
        </is>
      </c>
      <c r="B25" s="16">
        <f>COUNTIF(Proposta_SKU!$B$5:$B$134,"Alto")</f>
        <v/>
      </c>
      <c r="C25" s="17">
        <f>SUMIF(Proposta_SKU!$B$5:$B$134,"Alto",Proposta_SKU!$E$5:$E$134)</f>
        <v/>
      </c>
      <c r="D25" s="17">
        <f>SUMIF(Proposta_SKU!$B$5:$B$134,"Alto",Proposta_SKU!$J$5:$J$134)</f>
        <v/>
      </c>
      <c r="E25" s="17">
        <f>SUMIF(Proposta_SKU!$B$5:$B$134,"Alto",Proposta_SKU!$L$5:$L$134)</f>
        <v/>
      </c>
      <c r="F25" s="18" t="inlineStr">
        <is>
          <t>120-180 dias - repor so o que falta ate o alvo</t>
        </is>
      </c>
    </row>
    <row r="26">
      <c r="A26" s="19" t="inlineStr">
        <is>
          <t>Crítico</t>
        </is>
      </c>
      <c r="B26" s="20">
        <f>COUNTIF(Proposta_SKU!$B$5:$B$134,"Crítico")</f>
        <v/>
      </c>
      <c r="C26" s="21">
        <f>SUMIF(Proposta_SKU!$B$5:$B$134,"Crítico",Proposta_SKU!$E$5:$E$134)</f>
        <v/>
      </c>
      <c r="D26" s="21">
        <f>SUMIF(Proposta_SKU!$B$5:$B$134,"Crítico",Proposta_SKU!$J$5:$J$134)</f>
        <v/>
      </c>
      <c r="E26" s="21">
        <f>SUMIF(Proposta_SKU!$B$5:$B$134,"Crítico",Proposta_SKU!$L$5:$L$134)</f>
        <v/>
      </c>
      <c r="F26" s="22" t="inlineStr">
        <is>
          <t>180-365 dias - SEM compra</t>
        </is>
      </c>
    </row>
    <row r="27">
      <c r="A27" s="15" t="inlineStr">
        <is>
          <t>Zumbi</t>
        </is>
      </c>
      <c r="B27" s="16">
        <f>COUNTIF(Proposta_SKU!$B$5:$B$134,"Zumbi")</f>
        <v/>
      </c>
      <c r="C27" s="17">
        <f>SUMIF(Proposta_SKU!$B$5:$B$134,"Zumbi",Proposta_SKU!$E$5:$E$134)</f>
        <v/>
      </c>
      <c r="D27" s="17">
        <f>SUMIF(Proposta_SKU!$B$5:$B$134,"Zumbi",Proposta_SKU!$J$5:$J$134)</f>
        <v/>
      </c>
      <c r="E27" s="17">
        <f>SUMIF(Proposta_SKU!$B$5:$B$134,"Zumbi",Proposta_SKU!$L$5:$L$134)</f>
        <v/>
      </c>
      <c r="F27" s="18" t="inlineStr">
        <is>
          <t>&gt; 365 dias - SEM compra</t>
        </is>
      </c>
    </row>
    <row r="28">
      <c r="A28" s="19" t="inlineStr">
        <is>
          <t>Lançamento</t>
        </is>
      </c>
      <c r="B28" s="20">
        <f>COUNTIF(Proposta_SKU!$B$5:$B$134,"Lançamento")</f>
        <v/>
      </c>
      <c r="C28" s="21">
        <f>SUMIF(Proposta_SKU!$B$5:$B$134,"Lançamento",Proposta_SKU!$E$5:$E$134)</f>
        <v/>
      </c>
      <c r="D28" s="21">
        <f>SUMIF(Proposta_SKU!$B$5:$B$134,"Lançamento",Proposta_SKU!$J$5:$J$134)</f>
        <v/>
      </c>
      <c r="E28" s="21">
        <f>SUMIF(Proposta_SKU!$B$5:$B$134,"Lançamento",Proposta_SKU!$L$5:$L$134)</f>
        <v/>
      </c>
      <c r="F28" s="22" t="inlineStr">
        <is>
          <t>Energrip C Pop Kd - SEM compra, ver aba dedicada</t>
        </is>
      </c>
    </row>
    <row r="30">
      <c r="A30" s="4" t="inlineStr">
        <is>
          <t>Investimento complementar provisionado</t>
        </is>
      </c>
    </row>
    <row r="31">
      <c r="A31" s="3" t="inlineStr">
        <is>
          <t>Ver aba Acoes_Investimento para o detalhamento linha a linha.</t>
        </is>
      </c>
    </row>
    <row r="32">
      <c r="A32" s="12" t="inlineStr">
        <is>
          <t>Total provisionado</t>
        </is>
      </c>
      <c r="B32" s="23">
        <f>Acoes_Investimento!B17</f>
        <v/>
      </c>
    </row>
    <row r="34">
      <c r="A34" s="4" t="inlineStr">
        <is>
          <t>Nota metodologica</t>
        </is>
      </c>
    </row>
    <row r="35">
      <c r="A35" s="24" t="inlineStr">
        <is>
          <t>O aporte e alocado por DDE-alvo: cada SKU elegivel (cobertura atual abaixo do teto elegivel e fora da linha de lancamento) recebe compra suficiente para chegar perto do DDE-alvo, respeitando um teto de concentracao por SKU (evita apostar o aporte inteiro em 1-2 produtos). SKUs em Critico e Zumbi ficam com compra zero - comprar mais ali pioraria o problema ja mapeado no dossie (secoes 12 e 17). DIPIRONA 1G 10CPD esta a 0,02 dia de cobertura (59 un em estoque para ~16.800 un/mes de giro) e atinge o teto de concentracao (20%) - e a prioridade de reposicao de urgencia desta proposta.</t>
        </is>
      </c>
    </row>
    <row r="36"/>
    <row r="37"/>
    <row r="38"/>
    <row r="39"/>
  </sheetData>
  <mergeCells count="7">
    <mergeCell ref="A13:A14"/>
    <mergeCell ref="B13:B14"/>
    <mergeCell ref="D13:D14"/>
    <mergeCell ref="A1:F2"/>
    <mergeCell ref="A35:F39"/>
    <mergeCell ref="A3:F3"/>
    <mergeCell ref="C13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4" customWidth="1" min="4" max="4"/>
    <col width="15" customWidth="1" min="5" max="5"/>
    <col width="10" customWidth="1" min="6" max="6"/>
    <col width="15" customWidth="1" min="7" max="7"/>
    <col width="12" customWidth="1" min="8" max="8"/>
    <col width="16" customWidth="1" min="9" max="9"/>
    <col width="16" customWidth="1" min="10" max="10"/>
    <col width="14" customWidth="1" min="11" max="11"/>
    <col width="15" customWidth="1" min="12" max="12"/>
    <col width="10" customWidth="1" min="13" max="13"/>
    <col width="46" customWidth="1" min="14" max="14"/>
  </cols>
  <sheetData>
    <row r="1" ht="26" customHeight="1">
      <c r="A1" s="1" t="inlineStr">
        <is>
          <t>Proposta por SKU — linha Vitamedic cadastrada no EMEFARMA (RJ)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6" customHeight="1">
      <c r="A2" s="3" t="inlineStr">
        <is>
          <t>Colunas A-G vem da base de estoque de 20/08/2026 (Custo Rep, Estoque Total Un, Cobertura, Media Venda Un). Coluna I (Compra proposta) e a decisao do modelo de alocacao por DDE-alvo - editavel linha a linha; as colunas J a M recalculam automaticamente.</t>
        </is>
      </c>
    </row>
    <row r="4" ht="26" customHeight="1">
      <c r="A4" s="14" t="inlineStr">
        <is>
          <t>Produto</t>
        </is>
      </c>
      <c r="B4" s="14" t="inlineStr">
        <is>
          <t>Tier</t>
        </is>
      </c>
      <c r="C4" s="14" t="inlineStr">
        <is>
          <t>Custo Rep (R$/un)</t>
        </is>
      </c>
      <c r="D4" s="14" t="inlineStr">
        <is>
          <t>Estoque atual (un)</t>
        </is>
      </c>
      <c r="E4" s="14" t="inlineStr">
        <is>
          <t>Estoque atual (R$)</t>
        </is>
      </c>
      <c r="F4" s="14" t="inlineStr">
        <is>
          <t>DDE atual</t>
        </is>
      </c>
      <c r="G4" s="14" t="inlineStr">
        <is>
          <t>Venda media (un/mes)</t>
        </is>
      </c>
      <c r="H4" s="14" t="inlineStr">
        <is>
          <t>Elegivel p/ compra</t>
        </is>
      </c>
      <c r="I4" s="14" t="inlineStr">
        <is>
          <t>Compra proposta (un)</t>
        </is>
      </c>
      <c r="J4" s="14" t="inlineStr">
        <is>
          <t>Compra proposta (R$)</t>
        </is>
      </c>
      <c r="K4" s="14" t="inlineStr">
        <is>
          <t>Estoque final (un)</t>
        </is>
      </c>
      <c r="L4" s="14" t="inlineStr">
        <is>
          <t>Estoque final (R$)</t>
        </is>
      </c>
      <c r="M4" s="14" t="inlineStr">
        <is>
          <t>DDE final</t>
        </is>
      </c>
      <c r="N4" s="14" t="inlineStr">
        <is>
          <t>Observacao</t>
        </is>
      </c>
    </row>
    <row r="5">
      <c r="A5" s="25" t="inlineStr">
        <is>
          <t>ANLODIPINO 5MG 30CPD G VTC</t>
        </is>
      </c>
      <c r="B5" s="25" t="inlineStr">
        <is>
          <t>Alto</t>
        </is>
      </c>
      <c r="C5" s="26" t="n">
        <v>1.3045</v>
      </c>
      <c r="D5" s="16" t="n">
        <v>33868</v>
      </c>
      <c r="E5" s="17">
        <f>C5*D5</f>
        <v/>
      </c>
      <c r="F5" s="27" t="n">
        <v>158.3</v>
      </c>
      <c r="G5" s="16" t="n">
        <v>6409</v>
      </c>
      <c r="H5" s="15">
        <f>IF(AND(F5&lt;Resumo!$B$8,B5&lt;&gt;"Lançamento",G5&gt;0),"Sim","Não")</f>
        <v/>
      </c>
      <c r="I5" s="28" t="n">
        <v>0</v>
      </c>
      <c r="J5" s="17">
        <f>I5*C5</f>
        <v/>
      </c>
      <c r="K5" s="16">
        <f>D5+I5</f>
        <v/>
      </c>
      <c r="L5" s="17">
        <f>K5*C5</f>
        <v/>
      </c>
      <c r="M5" s="27">
        <f>IF(G5&gt;0,K5/(G5/30),"—")</f>
        <v/>
      </c>
      <c r="N5" s="18" t="inlineStr">
        <is>
          <t>Ja proximo ou acima do DDE-alvo - sem compra necessaria.</t>
        </is>
      </c>
    </row>
    <row r="6">
      <c r="A6" s="29" t="inlineStr">
        <is>
          <t>NIMESULIDA 100MG 12CPD G VTC</t>
        </is>
      </c>
      <c r="B6" s="29" t="inlineStr">
        <is>
          <t>Alto</t>
        </is>
      </c>
      <c r="C6" s="30" t="n">
        <v>1.2952</v>
      </c>
      <c r="D6" s="20" t="n">
        <v>22015</v>
      </c>
      <c r="E6" s="21">
        <f>C6*D6</f>
        <v/>
      </c>
      <c r="F6" s="31" t="n">
        <v>170.9</v>
      </c>
      <c r="G6" s="20" t="n">
        <v>3863</v>
      </c>
      <c r="H6" s="19">
        <f>IF(AND(F6&lt;Resumo!$B$8,B6&lt;&gt;"Lançamento",G6&gt;0),"Sim","Não")</f>
        <v/>
      </c>
      <c r="I6" s="28" t="n">
        <v>0</v>
      </c>
      <c r="J6" s="21">
        <f>I6*C6</f>
        <v/>
      </c>
      <c r="K6" s="20">
        <f>D6+I6</f>
        <v/>
      </c>
      <c r="L6" s="21">
        <f>K6*C6</f>
        <v/>
      </c>
      <c r="M6" s="31">
        <f>IF(G6&gt;0,K6/(G6/30),"—")</f>
        <v/>
      </c>
      <c r="N6" s="22" t="inlineStr">
        <is>
          <t>Ja proximo ou acima do DDE-alvo - sem compra necessaria.</t>
        </is>
      </c>
    </row>
    <row r="7">
      <c r="A7" s="25" t="inlineStr">
        <is>
          <t>ATENOLOL 25MG 30CPD G VTC</t>
        </is>
      </c>
      <c r="B7" s="25" t="inlineStr">
        <is>
          <t>Alto</t>
        </is>
      </c>
      <c r="C7" s="26" t="n">
        <v>1.2106</v>
      </c>
      <c r="D7" s="16" t="n">
        <v>10793</v>
      </c>
      <c r="E7" s="17">
        <f>C7*D7</f>
        <v/>
      </c>
      <c r="F7" s="27" t="n">
        <v>147.4</v>
      </c>
      <c r="G7" s="16" t="n">
        <v>2196</v>
      </c>
      <c r="H7" s="15">
        <f>IF(AND(F7&lt;Resumo!$B$8,B7&lt;&gt;"Lançamento",G7&gt;0),"Sim","Não")</f>
        <v/>
      </c>
      <c r="I7" s="28" t="n">
        <v>0</v>
      </c>
      <c r="J7" s="17">
        <f>I7*C7</f>
        <v/>
      </c>
      <c r="K7" s="16">
        <f>D7+I7</f>
        <v/>
      </c>
      <c r="L7" s="17">
        <f>K7*C7</f>
        <v/>
      </c>
      <c r="M7" s="27">
        <f>IF(G7&gt;0,K7/(G7/30),"—")</f>
        <v/>
      </c>
      <c r="N7" s="18" t="inlineStr">
        <is>
          <t>Ja proximo ou acima do DDE-alvo - sem compra necessaria.</t>
        </is>
      </c>
    </row>
    <row r="8">
      <c r="A8" s="29" t="inlineStr">
        <is>
          <t>IBUPROFENO 100MG/ML SUSP ORAL 20ML G VTC</t>
        </is>
      </c>
      <c r="B8" s="29" t="inlineStr">
        <is>
          <t>Alto</t>
        </is>
      </c>
      <c r="C8" s="30" t="n">
        <v>2.4881</v>
      </c>
      <c r="D8" s="20" t="n">
        <v>2912</v>
      </c>
      <c r="E8" s="21">
        <f>C8*D8</f>
        <v/>
      </c>
      <c r="F8" s="31" t="n">
        <v>132</v>
      </c>
      <c r="G8" s="20" t="n">
        <v>662</v>
      </c>
      <c r="H8" s="19">
        <f>IF(AND(F8&lt;Resumo!$B$8,B8&lt;&gt;"Lançamento",G8&gt;0),"Sim","Não")</f>
        <v/>
      </c>
      <c r="I8" s="28" t="n">
        <v>0</v>
      </c>
      <c r="J8" s="21">
        <f>I8*C8</f>
        <v/>
      </c>
      <c r="K8" s="20">
        <f>D8+I8</f>
        <v/>
      </c>
      <c r="L8" s="21">
        <f>K8*C8</f>
        <v/>
      </c>
      <c r="M8" s="31">
        <f>IF(G8&gt;0,K8/(G8/30),"—")</f>
        <v/>
      </c>
      <c r="N8" s="22" t="inlineStr">
        <is>
          <t>Ja proximo ou acima do DDE-alvo - sem compra necessaria.</t>
        </is>
      </c>
    </row>
    <row r="9">
      <c r="A9" s="25" t="inlineStr">
        <is>
          <t>ENERGRIP C+ ZINCO 1G+10MG 10CPD EFEV VTC</t>
        </is>
      </c>
      <c r="B9" s="25" t="inlineStr">
        <is>
          <t>Alto</t>
        </is>
      </c>
      <c r="C9" s="26" t="n">
        <v>4.0006</v>
      </c>
      <c r="D9" s="16" t="n">
        <v>2259</v>
      </c>
      <c r="E9" s="17">
        <f>C9*D9</f>
        <v/>
      </c>
      <c r="F9" s="27" t="n">
        <v>167.7</v>
      </c>
      <c r="G9" s="16" t="n">
        <v>404</v>
      </c>
      <c r="H9" s="15">
        <f>IF(AND(F9&lt;Resumo!$B$8,B9&lt;&gt;"Lançamento",G9&gt;0),"Sim","Não")</f>
        <v/>
      </c>
      <c r="I9" s="28" t="n">
        <v>0</v>
      </c>
      <c r="J9" s="17">
        <f>I9*C9</f>
        <v/>
      </c>
      <c r="K9" s="16">
        <f>D9+I9</f>
        <v/>
      </c>
      <c r="L9" s="17">
        <f>K9*C9</f>
        <v/>
      </c>
      <c r="M9" s="27">
        <f>IF(G9&gt;0,K9/(G9/30),"—")</f>
        <v/>
      </c>
      <c r="N9" s="18" t="inlineStr">
        <is>
          <t>Ja proximo ou acima do DDE-alvo - sem compra necessaria.</t>
        </is>
      </c>
    </row>
    <row r="10">
      <c r="A10" s="29" t="inlineStr">
        <is>
          <t>IVERMECTINA 6MG 2CPD G VTC</t>
        </is>
      </c>
      <c r="B10" s="29" t="inlineStr">
        <is>
          <t>Alto</t>
        </is>
      </c>
      <c r="C10" s="30" t="n">
        <v>2.4009</v>
      </c>
      <c r="D10" s="20" t="n">
        <v>1689</v>
      </c>
      <c r="E10" s="21">
        <f>C10*D10</f>
        <v/>
      </c>
      <c r="F10" s="31" t="n">
        <v>121.3</v>
      </c>
      <c r="G10" s="20" t="n">
        <v>417</v>
      </c>
      <c r="H10" s="19">
        <f>IF(AND(F10&lt;Resumo!$B$8,B10&lt;&gt;"Lançamento",G10&gt;0),"Sim","Não")</f>
        <v/>
      </c>
      <c r="I10" s="28" t="n">
        <v>0</v>
      </c>
      <c r="J10" s="21">
        <f>I10*C10</f>
        <v/>
      </c>
      <c r="K10" s="20">
        <f>D10+I10</f>
        <v/>
      </c>
      <c r="L10" s="21">
        <f>K10*C10</f>
        <v/>
      </c>
      <c r="M10" s="31">
        <f>IF(G10&gt;0,K10/(G10/30),"—")</f>
        <v/>
      </c>
      <c r="N10" s="22" t="inlineStr">
        <is>
          <t>Ja proximo ou acima do DDE-alvo - sem compra necessaria.</t>
        </is>
      </c>
    </row>
    <row r="11">
      <c r="A11" s="25" t="inlineStr">
        <is>
          <t>CICLOBENZAPRINA 10MG 15CPD G VTC</t>
        </is>
      </c>
      <c r="B11" s="25" t="inlineStr">
        <is>
          <t>Alto</t>
        </is>
      </c>
      <c r="C11" s="26" t="n">
        <v>3.0201</v>
      </c>
      <c r="D11" s="16" t="n">
        <v>1196</v>
      </c>
      <c r="E11" s="17">
        <f>C11*D11</f>
        <v/>
      </c>
      <c r="F11" s="27" t="n">
        <v>162.7</v>
      </c>
      <c r="G11" s="16" t="n">
        <v>220</v>
      </c>
      <c r="H11" s="15">
        <f>IF(AND(F11&lt;Resumo!$B$8,B11&lt;&gt;"Lançamento",G11&gt;0),"Sim","Não")</f>
        <v/>
      </c>
      <c r="I11" s="28" t="n">
        <v>0</v>
      </c>
      <c r="J11" s="17">
        <f>I11*C11</f>
        <v/>
      </c>
      <c r="K11" s="16">
        <f>D11+I11</f>
        <v/>
      </c>
      <c r="L11" s="17">
        <f>K11*C11</f>
        <v/>
      </c>
      <c r="M11" s="27">
        <f>IF(G11&gt;0,K11/(G11/30),"—")</f>
        <v/>
      </c>
      <c r="N11" s="18" t="inlineStr">
        <is>
          <t>Ja proximo ou acima do DDE-alvo - sem compra necessaria.</t>
        </is>
      </c>
    </row>
    <row r="12">
      <c r="A12" s="29" t="inlineStr">
        <is>
          <t>IBUPROFENO 600MG 10CPD G VTC</t>
        </is>
      </c>
      <c r="B12" s="29" t="inlineStr">
        <is>
          <t>Alto</t>
        </is>
      </c>
      <c r="C12" s="30" t="n">
        <v>7.9399</v>
      </c>
      <c r="D12" s="20" t="n">
        <v>934</v>
      </c>
      <c r="E12" s="21">
        <f>C12*D12</f>
        <v/>
      </c>
      <c r="F12" s="31" t="n">
        <v>143</v>
      </c>
      <c r="G12" s="20" t="n">
        <v>196</v>
      </c>
      <c r="H12" s="19">
        <f>IF(AND(F12&lt;Resumo!$B$8,B12&lt;&gt;"Lançamento",G12&gt;0),"Sim","Não")</f>
        <v/>
      </c>
      <c r="I12" s="28" t="n">
        <v>0</v>
      </c>
      <c r="J12" s="21">
        <f>I12*C12</f>
        <v/>
      </c>
      <c r="K12" s="20">
        <f>D12+I12</f>
        <v/>
      </c>
      <c r="L12" s="21">
        <f>K12*C12</f>
        <v/>
      </c>
      <c r="M12" s="31">
        <f>IF(G12&gt;0,K12/(G12/30),"—")</f>
        <v/>
      </c>
      <c r="N12" s="22" t="inlineStr">
        <is>
          <t>Ja proximo ou acima do DDE-alvo - sem compra necessaria.</t>
        </is>
      </c>
    </row>
    <row r="13">
      <c r="A13" s="25" t="inlineStr">
        <is>
          <t>ENERGRIP C TRIP ACAO 1G+10CPD EFERV VTC</t>
        </is>
      </c>
      <c r="B13" s="25" t="inlineStr">
        <is>
          <t>Alto</t>
        </is>
      </c>
      <c r="C13" s="26" t="n">
        <v>4.6199</v>
      </c>
      <c r="D13" s="16" t="n">
        <v>919</v>
      </c>
      <c r="E13" s="17">
        <f>C13*D13</f>
        <v/>
      </c>
      <c r="F13" s="27" t="n">
        <v>154</v>
      </c>
      <c r="G13" s="16" t="n">
        <v>179</v>
      </c>
      <c r="H13" s="15">
        <f>IF(AND(F13&lt;Resumo!$B$8,B13&lt;&gt;"Lançamento",G13&gt;0),"Sim","Não")</f>
        <v/>
      </c>
      <c r="I13" s="28" t="n">
        <v>0</v>
      </c>
      <c r="J13" s="17">
        <f>I13*C13</f>
        <v/>
      </c>
      <c r="K13" s="16">
        <f>D13+I13</f>
        <v/>
      </c>
      <c r="L13" s="17">
        <f>K13*C13</f>
        <v/>
      </c>
      <c r="M13" s="27">
        <f>IF(G13&gt;0,K13/(G13/30),"—")</f>
        <v/>
      </c>
      <c r="N13" s="18" t="inlineStr">
        <is>
          <t>Ja proximo ou acima do DDE-alvo - sem compra necessaria.</t>
        </is>
      </c>
    </row>
    <row r="14">
      <c r="A14" s="29" t="inlineStr">
        <is>
          <t>GUAKOEXPEC 0,1ML/ML XPE 150ML VTC</t>
        </is>
      </c>
      <c r="B14" s="29" t="inlineStr">
        <is>
          <t>Alto</t>
        </is>
      </c>
      <c r="C14" s="30" t="n">
        <v>6.7286</v>
      </c>
      <c r="D14" s="20" t="n">
        <v>573</v>
      </c>
      <c r="E14" s="21">
        <f>C14*D14</f>
        <v/>
      </c>
      <c r="F14" s="31" t="n">
        <v>140.9</v>
      </c>
      <c r="G14" s="20" t="n">
        <v>122</v>
      </c>
      <c r="H14" s="19">
        <f>IF(AND(F14&lt;Resumo!$B$8,B14&lt;&gt;"Lançamento",G14&gt;0),"Sim","Não")</f>
        <v/>
      </c>
      <c r="I14" s="28" t="n">
        <v>0</v>
      </c>
      <c r="J14" s="21">
        <f>I14*C14</f>
        <v/>
      </c>
      <c r="K14" s="20">
        <f>D14+I14</f>
        <v/>
      </c>
      <c r="L14" s="21">
        <f>K14*C14</f>
        <v/>
      </c>
      <c r="M14" s="31">
        <f>IF(G14&gt;0,K14/(G14/30),"—")</f>
        <v/>
      </c>
      <c r="N14" s="22" t="inlineStr">
        <is>
          <t>Ja proximo ou acima do DDE-alvo - sem compra necessaria.</t>
        </is>
      </c>
    </row>
    <row r="15">
      <c r="A15" s="25" t="inlineStr">
        <is>
          <t>ENERGRIP C IMUNO ENERGY 16CDP EFERV VTC</t>
        </is>
      </c>
      <c r="B15" s="25" t="inlineStr">
        <is>
          <t>Alto</t>
        </is>
      </c>
      <c r="C15" s="26" t="n">
        <v>11.8398</v>
      </c>
      <c r="D15" s="16" t="n">
        <v>266</v>
      </c>
      <c r="E15" s="17">
        <f>C15*D15</f>
        <v/>
      </c>
      <c r="F15" s="27" t="n">
        <v>169.8</v>
      </c>
      <c r="G15" s="16" t="n">
        <v>47</v>
      </c>
      <c r="H15" s="15">
        <f>IF(AND(F15&lt;Resumo!$B$8,B15&lt;&gt;"Lançamento",G15&gt;0),"Sim","Não")</f>
        <v/>
      </c>
      <c r="I15" s="28" t="n">
        <v>0</v>
      </c>
      <c r="J15" s="17">
        <f>I15*C15</f>
        <v/>
      </c>
      <c r="K15" s="16">
        <f>D15+I15</f>
        <v/>
      </c>
      <c r="L15" s="17">
        <f>K15*C15</f>
        <v/>
      </c>
      <c r="M15" s="27">
        <f>IF(G15&gt;0,K15/(G15/30),"—")</f>
        <v/>
      </c>
      <c r="N15" s="18" t="inlineStr">
        <is>
          <t>Ja proximo ou acima do DDE-alvo - sem compra necessaria.</t>
        </is>
      </c>
    </row>
    <row r="16">
      <c r="A16" s="29" t="inlineStr">
        <is>
          <t>GLICOMET 500MG 30CPD VTC</t>
        </is>
      </c>
      <c r="B16" s="29" t="inlineStr">
        <is>
          <t>Alto</t>
        </is>
      </c>
      <c r="C16" s="30" t="n">
        <v>3.8436</v>
      </c>
      <c r="D16" s="20" t="n">
        <v>237</v>
      </c>
      <c r="E16" s="21">
        <f>C16*D16</f>
        <v/>
      </c>
      <c r="F16" s="31" t="n">
        <v>151.3</v>
      </c>
      <c r="G16" s="20" t="n">
        <v>47</v>
      </c>
      <c r="H16" s="19">
        <f>IF(AND(F16&lt;Resumo!$B$8,B16&lt;&gt;"Lançamento",G16&gt;0),"Sim","Não")</f>
        <v/>
      </c>
      <c r="I16" s="28" t="n">
        <v>0</v>
      </c>
      <c r="J16" s="21">
        <f>I16*C16</f>
        <v/>
      </c>
      <c r="K16" s="20">
        <f>D16+I16</f>
        <v/>
      </c>
      <c r="L16" s="21">
        <f>K16*C16</f>
        <v/>
      </c>
      <c r="M16" s="31">
        <f>IF(G16&gt;0,K16/(G16/30),"—")</f>
        <v/>
      </c>
      <c r="N16" s="22" t="inlineStr">
        <is>
          <t>Ja proximo ou acima do DDE-alvo - sem compra necessaria.</t>
        </is>
      </c>
    </row>
    <row r="17">
      <c r="A17" s="25" t="inlineStr">
        <is>
          <t>DORALEX ICE BISN 60G VTC</t>
        </is>
      </c>
      <c r="B17" s="25" t="inlineStr">
        <is>
          <t>Alto</t>
        </is>
      </c>
      <c r="C17" s="26" t="n">
        <v>9.544</v>
      </c>
      <c r="D17" s="16" t="n">
        <v>191</v>
      </c>
      <c r="E17" s="17">
        <f>C17*D17</f>
        <v/>
      </c>
      <c r="F17" s="27" t="n">
        <v>136.4</v>
      </c>
      <c r="G17" s="16" t="n">
        <v>42</v>
      </c>
      <c r="H17" s="15">
        <f>IF(AND(F17&lt;Resumo!$B$8,B17&lt;&gt;"Lançamento",G17&gt;0),"Sim","Não")</f>
        <v/>
      </c>
      <c r="I17" s="28" t="n">
        <v>0</v>
      </c>
      <c r="J17" s="17">
        <f>I17*C17</f>
        <v/>
      </c>
      <c r="K17" s="16">
        <f>D17+I17</f>
        <v/>
      </c>
      <c r="L17" s="17">
        <f>K17*C17</f>
        <v/>
      </c>
      <c r="M17" s="27">
        <f>IF(G17&gt;0,K17/(G17/30),"—")</f>
        <v/>
      </c>
      <c r="N17" s="18" t="inlineStr">
        <is>
          <t>Ja proximo ou acima do DDE-alvo - sem compra necessaria.</t>
        </is>
      </c>
    </row>
    <row r="18">
      <c r="A18" s="29" t="inlineStr">
        <is>
          <t>DORALEX 500MG 200CPD VTC</t>
        </is>
      </c>
      <c r="B18" s="29" t="inlineStr">
        <is>
          <t>Alto</t>
        </is>
      </c>
      <c r="C18" s="30" t="n">
        <v>34.211</v>
      </c>
      <c r="D18" s="20" t="n">
        <v>166</v>
      </c>
      <c r="E18" s="21">
        <f>C18*D18</f>
        <v/>
      </c>
      <c r="F18" s="31" t="n">
        <v>124.5</v>
      </c>
      <c r="G18" s="20" t="n">
        <v>40</v>
      </c>
      <c r="H18" s="19">
        <f>IF(AND(F18&lt;Resumo!$B$8,B18&lt;&gt;"Lançamento",G18&gt;0),"Sim","Não")</f>
        <v/>
      </c>
      <c r="I18" s="28" t="n">
        <v>0</v>
      </c>
      <c r="J18" s="21">
        <f>I18*C18</f>
        <v/>
      </c>
      <c r="K18" s="20">
        <f>D18+I18</f>
        <v/>
      </c>
      <c r="L18" s="21">
        <f>K18*C18</f>
        <v/>
      </c>
      <c r="M18" s="31">
        <f>IF(G18&gt;0,K18/(G18/30),"—")</f>
        <v/>
      </c>
      <c r="N18" s="22" t="inlineStr">
        <is>
          <t>Ja proximo ou acima do DDE-alvo - sem compra necessaria.</t>
        </is>
      </c>
    </row>
    <row r="19">
      <c r="A19" s="25" t="inlineStr">
        <is>
          <t>MAMYCARE CRM BISN 50G VTC</t>
        </is>
      </c>
      <c r="B19" s="25" t="inlineStr">
        <is>
          <t>Alto</t>
        </is>
      </c>
      <c r="C19" s="26" t="n">
        <v>16.826</v>
      </c>
      <c r="D19" s="16" t="n">
        <v>150</v>
      </c>
      <c r="E19" s="17">
        <f>C19*D19</f>
        <v/>
      </c>
      <c r="F19" s="27" t="n">
        <v>173.1</v>
      </c>
      <c r="G19" s="16" t="n">
        <v>26</v>
      </c>
      <c r="H19" s="15">
        <f>IF(AND(F19&lt;Resumo!$B$8,B19&lt;&gt;"Lançamento",G19&gt;0),"Sim","Não")</f>
        <v/>
      </c>
      <c r="I19" s="28" t="n">
        <v>0</v>
      </c>
      <c r="J19" s="17">
        <f>I19*C19</f>
        <v/>
      </c>
      <c r="K19" s="16">
        <f>D19+I19</f>
        <v/>
      </c>
      <c r="L19" s="17">
        <f>K19*C19</f>
        <v/>
      </c>
      <c r="M19" s="27">
        <f>IF(G19&gt;0,K19/(G19/30),"—")</f>
        <v/>
      </c>
      <c r="N19" s="18" t="inlineStr">
        <is>
          <t>Ja proximo ou acima do DDE-alvo - sem compra necessaria.</t>
        </is>
      </c>
    </row>
    <row r="20">
      <c r="A20" s="29" t="inlineStr">
        <is>
          <t>DERMITRAT 20MG/G CRM 30G VTC</t>
        </is>
      </c>
      <c r="B20" s="29" t="inlineStr">
        <is>
          <t>Alto</t>
        </is>
      </c>
      <c r="C20" s="30" t="n">
        <v>6.4928</v>
      </c>
      <c r="D20" s="20" t="n">
        <v>64</v>
      </c>
      <c r="E20" s="21">
        <f>C20*D20</f>
        <v/>
      </c>
      <c r="F20" s="31" t="n">
        <v>160</v>
      </c>
      <c r="G20" s="20" t="n">
        <v>12</v>
      </c>
      <c r="H20" s="19">
        <f>IF(AND(F20&lt;Resumo!$B$8,B20&lt;&gt;"Lançamento",G20&gt;0),"Sim","Não")</f>
        <v/>
      </c>
      <c r="I20" s="28" t="n">
        <v>0</v>
      </c>
      <c r="J20" s="21">
        <f>I20*C20</f>
        <v/>
      </c>
      <c r="K20" s="20">
        <f>D20+I20</f>
        <v/>
      </c>
      <c r="L20" s="21">
        <f>K20*C20</f>
        <v/>
      </c>
      <c r="M20" s="31">
        <f>IF(G20&gt;0,K20/(G20/30),"—")</f>
        <v/>
      </c>
      <c r="N20" s="22" t="inlineStr">
        <is>
          <t>Ja proximo ou acima do DDE-alvo - sem compra necessaria.</t>
        </is>
      </c>
    </row>
    <row r="21">
      <c r="A21" s="25" t="inlineStr">
        <is>
          <t>BIOVARIXON 450+50MG 60CPD VTC</t>
        </is>
      </c>
      <c r="B21" s="25" t="inlineStr">
        <is>
          <t>Alto</t>
        </is>
      </c>
      <c r="C21" s="26" t="n">
        <v>38.123</v>
      </c>
      <c r="D21" s="16" t="n">
        <v>22</v>
      </c>
      <c r="E21" s="17">
        <f>C21*D21</f>
        <v/>
      </c>
      <c r="F21" s="27" t="n">
        <v>132</v>
      </c>
      <c r="G21" s="16" t="n">
        <v>5</v>
      </c>
      <c r="H21" s="15">
        <f>IF(AND(F21&lt;Resumo!$B$8,B21&lt;&gt;"Lançamento",G21&gt;0),"Sim","Não")</f>
        <v/>
      </c>
      <c r="I21" s="28" t="n">
        <v>0</v>
      </c>
      <c r="J21" s="17">
        <f>I21*C21</f>
        <v/>
      </c>
      <c r="K21" s="16">
        <f>D21+I21</f>
        <v/>
      </c>
      <c r="L21" s="17">
        <f>K21*C21</f>
        <v/>
      </c>
      <c r="M21" s="27">
        <f>IF(G21&gt;0,K21/(G21/30),"—")</f>
        <v/>
      </c>
      <c r="N21" s="18" t="inlineStr">
        <is>
          <t>Ja proximo ou acima do DDE-alvo - sem compra necessaria.</t>
        </is>
      </c>
    </row>
    <row r="22">
      <c r="A22" s="29" t="inlineStr">
        <is>
          <t>LORASLIV 10MG 12CPD VTC</t>
        </is>
      </c>
      <c r="B22" s="29" t="inlineStr">
        <is>
          <t>Atenção</t>
        </is>
      </c>
      <c r="C22" s="30" t="n">
        <v>1.279</v>
      </c>
      <c r="D22" s="20" t="n">
        <v>61040</v>
      </c>
      <c r="E22" s="21">
        <f>C22*D22</f>
        <v/>
      </c>
      <c r="F22" s="31" t="n">
        <v>85.2</v>
      </c>
      <c r="G22" s="20" t="n">
        <v>21497</v>
      </c>
      <c r="H22" s="19">
        <f>IF(AND(F22&lt;Resumo!$B$8,B22&lt;&gt;"Lançamento",G22&gt;0),"Sim","Não")</f>
        <v/>
      </c>
      <c r="I22" s="32" t="n">
        <v>31235</v>
      </c>
      <c r="J22" s="21">
        <f>I22*C22</f>
        <v/>
      </c>
      <c r="K22" s="20">
        <f>D22+I22</f>
        <v/>
      </c>
      <c r="L22" s="21">
        <f>K22*C22</f>
        <v/>
      </c>
      <c r="M22" s="31">
        <f>IF(G22&gt;0,K22/(G22/30),"—")</f>
        <v/>
      </c>
      <c r="N22" s="22" t="inlineStr">
        <is>
          <t>Reposicao de giro - repoe ate perto do DDE-alvo.</t>
        </is>
      </c>
    </row>
    <row r="23">
      <c r="A23" s="25" t="inlineStr">
        <is>
          <t>FLUCONAZOL 150MG 2CAP G VTC</t>
        </is>
      </c>
      <c r="B23" s="25" t="inlineStr">
        <is>
          <t>Atenção</t>
        </is>
      </c>
      <c r="C23" s="26" t="n">
        <v>1.2256</v>
      </c>
      <c r="D23" s="16" t="n">
        <v>25079</v>
      </c>
      <c r="E23" s="17">
        <f>C23*D23</f>
        <v/>
      </c>
      <c r="F23" s="27" t="n">
        <v>85.8</v>
      </c>
      <c r="G23" s="16" t="n">
        <v>8764</v>
      </c>
      <c r="H23" s="15">
        <f>IF(AND(F23&lt;Resumo!$B$8,B23&lt;&gt;"Lançamento",G23&gt;0),"Sim","Não")</f>
        <v/>
      </c>
      <c r="I23" s="32" t="n">
        <v>12494</v>
      </c>
      <c r="J23" s="17">
        <f>I23*C23</f>
        <v/>
      </c>
      <c r="K23" s="16">
        <f>D23+I23</f>
        <v/>
      </c>
      <c r="L23" s="17">
        <f>K23*C23</f>
        <v/>
      </c>
      <c r="M23" s="27">
        <f>IF(G23&gt;0,K23/(G23/30),"—")</f>
        <v/>
      </c>
      <c r="N23" s="18" t="inlineStr">
        <is>
          <t>Reposicao de giro - repoe ate perto do DDE-alvo.</t>
        </is>
      </c>
    </row>
    <row r="24">
      <c r="A24" s="29" t="inlineStr">
        <is>
          <t>LORATADINA 10MG 12 CPD G VTC</t>
        </is>
      </c>
      <c r="B24" s="29" t="inlineStr">
        <is>
          <t>Atenção</t>
        </is>
      </c>
      <c r="C24" s="30" t="n">
        <v>1.2866</v>
      </c>
      <c r="D24" s="20" t="n">
        <v>20805</v>
      </c>
      <c r="E24" s="21">
        <f>C24*D24</f>
        <v/>
      </c>
      <c r="F24" s="31" t="n">
        <v>84.09999999999999</v>
      </c>
      <c r="G24" s="20" t="n">
        <v>7415</v>
      </c>
      <c r="H24" s="19">
        <f>IF(AND(F24&lt;Resumo!$B$8,B24&lt;&gt;"Lançamento",G24&gt;0),"Sim","Não")</f>
        <v/>
      </c>
      <c r="I24" s="32" t="n">
        <v>11105</v>
      </c>
      <c r="J24" s="21">
        <f>I24*C24</f>
        <v/>
      </c>
      <c r="K24" s="20">
        <f>D24+I24</f>
        <v/>
      </c>
      <c r="L24" s="21">
        <f>K24*C24</f>
        <v/>
      </c>
      <c r="M24" s="31">
        <f>IF(G24&gt;0,K24/(G24/30),"—")</f>
        <v/>
      </c>
      <c r="N24" s="22" t="inlineStr">
        <is>
          <t>Reposicao de giro - repoe ate perto do DDE-alvo.</t>
        </is>
      </c>
    </row>
    <row r="25">
      <c r="A25" s="25" t="inlineStr">
        <is>
          <t>HEPATOVIT ABACAXI DISP 60FLAC 10ML VTC</t>
        </is>
      </c>
      <c r="B25" s="25" t="inlineStr">
        <is>
          <t>Atenção</t>
        </is>
      </c>
      <c r="C25" s="26" t="n">
        <v>32.7965</v>
      </c>
      <c r="D25" s="16" t="n">
        <v>403</v>
      </c>
      <c r="E25" s="17">
        <f>C25*D25</f>
        <v/>
      </c>
      <c r="F25" s="27" t="n">
        <v>70.7</v>
      </c>
      <c r="G25" s="16" t="n">
        <v>171</v>
      </c>
      <c r="H25" s="15">
        <f>IF(AND(F25&lt;Resumo!$B$8,B25&lt;&gt;"Lançamento",G25&gt;0),"Sim","Não")</f>
        <v/>
      </c>
      <c r="I25" s="32" t="n">
        <v>352</v>
      </c>
      <c r="J25" s="17">
        <f>I25*C25</f>
        <v/>
      </c>
      <c r="K25" s="16">
        <f>D25+I25</f>
        <v/>
      </c>
      <c r="L25" s="17">
        <f>K25*C25</f>
        <v/>
      </c>
      <c r="M25" s="27">
        <f>IF(G25&gt;0,K25/(G25/30),"—")</f>
        <v/>
      </c>
      <c r="N25" s="18" t="inlineStr">
        <is>
          <t>Reposicao de giro - repoe ate perto do DDE-alvo.</t>
        </is>
      </c>
    </row>
    <row r="26">
      <c r="A26" s="29" t="inlineStr">
        <is>
          <t>ENERGRIP C 1G+1G 10CPD EFEV VTC</t>
        </is>
      </c>
      <c r="B26" s="29" t="inlineStr">
        <is>
          <t>Atenção</t>
        </is>
      </c>
      <c r="C26" s="30" t="n">
        <v>3.7467</v>
      </c>
      <c r="D26" s="20" t="n">
        <v>8655</v>
      </c>
      <c r="E26" s="21">
        <f>C26*D26</f>
        <v/>
      </c>
      <c r="F26" s="31" t="n">
        <v>95.40000000000001</v>
      </c>
      <c r="G26" s="20" t="n">
        <v>2721</v>
      </c>
      <c r="H26" s="19">
        <f>IF(AND(F26&lt;Resumo!$B$8,B26&lt;&gt;"Lançamento",G26&gt;0),"Sim","Não")</f>
        <v/>
      </c>
      <c r="I26" s="32" t="n">
        <v>2791</v>
      </c>
      <c r="J26" s="21">
        <f>I26*C26</f>
        <v/>
      </c>
      <c r="K26" s="20">
        <f>D26+I26</f>
        <v/>
      </c>
      <c r="L26" s="21">
        <f>K26*C26</f>
        <v/>
      </c>
      <c r="M26" s="31">
        <f>IF(G26&gt;0,K26/(G26/30),"—")</f>
        <v/>
      </c>
      <c r="N26" s="22" t="inlineStr">
        <is>
          <t>Reposicao de giro - repoe ate perto do DDE-alvo.</t>
        </is>
      </c>
    </row>
    <row r="27">
      <c r="A27" s="25" t="inlineStr">
        <is>
          <t>ANLODIPINO 10MG 30CPD G VTC</t>
        </is>
      </c>
      <c r="B27" s="25" t="inlineStr">
        <is>
          <t>Atenção</t>
        </is>
      </c>
      <c r="C27" s="26" t="n">
        <v>2.0613</v>
      </c>
      <c r="D27" s="16" t="n">
        <v>4098</v>
      </c>
      <c r="E27" s="17">
        <f>C27*D27</f>
        <v/>
      </c>
      <c r="F27" s="27" t="n">
        <v>61.6</v>
      </c>
      <c r="G27" s="16" t="n">
        <v>1995</v>
      </c>
      <c r="H27" s="15">
        <f>IF(AND(F27&lt;Resumo!$B$8,B27&lt;&gt;"Lançamento",G27&gt;0),"Sim","Não")</f>
        <v/>
      </c>
      <c r="I27" s="32" t="n">
        <v>4861</v>
      </c>
      <c r="J27" s="17">
        <f>I27*C27</f>
        <v/>
      </c>
      <c r="K27" s="16">
        <f>D27+I27</f>
        <v/>
      </c>
      <c r="L27" s="17">
        <f>K27*C27</f>
        <v/>
      </c>
      <c r="M27" s="27">
        <f>IF(G27&gt;0,K27/(G27/30),"—")</f>
        <v/>
      </c>
      <c r="N27" s="18" t="inlineStr">
        <is>
          <t>Reposicao de giro - repoe ate perto do DDE-alvo.</t>
        </is>
      </c>
    </row>
    <row r="28">
      <c r="A28" s="29" t="inlineStr">
        <is>
          <t>HEDERA HELIX 7MG/ML XPE 100ML VTC</t>
        </is>
      </c>
      <c r="B28" s="29" t="inlineStr">
        <is>
          <t>Atenção</t>
        </is>
      </c>
      <c r="C28" s="30" t="n">
        <v>6.5186</v>
      </c>
      <c r="D28" s="20" t="n">
        <v>1653</v>
      </c>
      <c r="E28" s="21">
        <f>C28*D28</f>
        <v/>
      </c>
      <c r="F28" s="31" t="n">
        <v>74.40000000000001</v>
      </c>
      <c r="G28" s="20" t="n">
        <v>665</v>
      </c>
      <c r="H28" s="19">
        <f>IF(AND(F28&lt;Resumo!$B$8,B28&lt;&gt;"Lançamento",G28&gt;0),"Sim","Não")</f>
        <v/>
      </c>
      <c r="I28" s="32" t="n">
        <v>1265</v>
      </c>
      <c r="J28" s="21">
        <f>I28*C28</f>
        <v/>
      </c>
      <c r="K28" s="20">
        <f>D28+I28</f>
        <v/>
      </c>
      <c r="L28" s="21">
        <f>K28*C28</f>
        <v/>
      </c>
      <c r="M28" s="31">
        <f>IF(G28&gt;0,K28/(G28/30),"—")</f>
        <v/>
      </c>
      <c r="N28" s="22" t="inlineStr">
        <is>
          <t>Reposicao de giro - repoe ate perto do DDE-alvo.</t>
        </is>
      </c>
    </row>
    <row r="29">
      <c r="A29" s="25" t="inlineStr">
        <is>
          <t>FEXOFENADINA 6MG/ML 60ML G VTC</t>
        </is>
      </c>
      <c r="B29" s="25" t="inlineStr">
        <is>
          <t>Atenção</t>
        </is>
      </c>
      <c r="C29" s="26" t="n">
        <v>9.7591</v>
      </c>
      <c r="D29" s="16" t="n">
        <v>6889</v>
      </c>
      <c r="E29" s="17">
        <f>C29*D29</f>
        <v/>
      </c>
      <c r="F29" s="27" t="n">
        <v>111.5</v>
      </c>
      <c r="G29" s="16" t="n">
        <v>1853</v>
      </c>
      <c r="H29" s="15">
        <f>IF(AND(F29&lt;Resumo!$B$8,B29&lt;&gt;"Lançamento",G29&gt;0),"Sim","Não")</f>
        <v/>
      </c>
      <c r="I29" s="32" t="n">
        <v>655</v>
      </c>
      <c r="J29" s="17">
        <f>I29*C29</f>
        <v/>
      </c>
      <c r="K29" s="16">
        <f>D29+I29</f>
        <v/>
      </c>
      <c r="L29" s="17">
        <f>K29*C29</f>
        <v/>
      </c>
      <c r="M29" s="27">
        <f>IF(G29&gt;0,K29/(G29/30),"—")</f>
        <v/>
      </c>
      <c r="N29" s="18" t="inlineStr">
        <is>
          <t>Reposicao de giro - repoe ate perto do DDE-alvo.</t>
        </is>
      </c>
    </row>
    <row r="30">
      <c r="A30" s="29" t="inlineStr">
        <is>
          <t>HEMODASE POM 25G 6APL VTC</t>
        </is>
      </c>
      <c r="B30" s="29" t="inlineStr">
        <is>
          <t>Atenção</t>
        </is>
      </c>
      <c r="C30" s="30" t="n">
        <v>11.3107</v>
      </c>
      <c r="D30" s="20" t="n">
        <v>1229</v>
      </c>
      <c r="E30" s="21">
        <f>C30*D30</f>
        <v/>
      </c>
      <c r="F30" s="31" t="n">
        <v>88</v>
      </c>
      <c r="G30" s="20" t="n">
        <v>418</v>
      </c>
      <c r="H30" s="19">
        <f>IF(AND(F30&lt;Resumo!$B$8,B30&lt;&gt;"Lançamento",G30&gt;0),"Sim","Não")</f>
        <v/>
      </c>
      <c r="I30" s="32" t="n">
        <v>558</v>
      </c>
      <c r="J30" s="21">
        <f>I30*C30</f>
        <v/>
      </c>
      <c r="K30" s="20">
        <f>D30+I30</f>
        <v/>
      </c>
      <c r="L30" s="21">
        <f>K30*C30</f>
        <v/>
      </c>
      <c r="M30" s="31">
        <f>IF(G30&gt;0,K30/(G30/30),"—")</f>
        <v/>
      </c>
      <c r="N30" s="22" t="inlineStr">
        <is>
          <t>Reposicao de giro - repoe ate perto do DDE-alvo.</t>
        </is>
      </c>
    </row>
    <row r="31">
      <c r="A31" s="25" t="inlineStr">
        <is>
          <t>DIPIRONA 500MG 200CPD G VTC</t>
        </is>
      </c>
      <c r="B31" s="25" t="inlineStr">
        <is>
          <t>Atenção</t>
        </is>
      </c>
      <c r="C31" s="26" t="n">
        <v>35.0775</v>
      </c>
      <c r="D31" s="16" t="n">
        <v>143</v>
      </c>
      <c r="E31" s="17">
        <f>C31*D31</f>
        <v/>
      </c>
      <c r="F31" s="27" t="n">
        <v>60</v>
      </c>
      <c r="G31" s="16" t="n">
        <v>71</v>
      </c>
      <c r="H31" s="15">
        <f>IF(AND(F31&lt;Resumo!$B$8,B31&lt;&gt;"Lançamento",G31&gt;0),"Sim","Não")</f>
        <v/>
      </c>
      <c r="I31" s="32" t="n">
        <v>178</v>
      </c>
      <c r="J31" s="17">
        <f>I31*C31</f>
        <v/>
      </c>
      <c r="K31" s="16">
        <f>D31+I31</f>
        <v/>
      </c>
      <c r="L31" s="17">
        <f>K31*C31</f>
        <v/>
      </c>
      <c r="M31" s="27">
        <f>IF(G31&gt;0,K31/(G31/30),"—")</f>
        <v/>
      </c>
      <c r="N31" s="18" t="inlineStr">
        <is>
          <t>Reposicao de giro - repoe ate perto do DDE-alvo.</t>
        </is>
      </c>
    </row>
    <row r="32">
      <c r="A32" s="29" t="inlineStr">
        <is>
          <t>IVERMECTINA 6MG 4CPD G VTC</t>
        </is>
      </c>
      <c r="B32" s="29" t="inlineStr">
        <is>
          <t>Atenção</t>
        </is>
      </c>
      <c r="C32" s="30" t="n">
        <v>1.9972</v>
      </c>
      <c r="D32" s="20" t="n">
        <v>39210</v>
      </c>
      <c r="E32" s="21">
        <f>C32*D32</f>
        <v/>
      </c>
      <c r="F32" s="31" t="n">
        <v>113.3</v>
      </c>
      <c r="G32" s="20" t="n">
        <v>10381</v>
      </c>
      <c r="H32" s="19">
        <f>IF(AND(F32&lt;Resumo!$B$8,B32&lt;&gt;"Lançamento",G32&gt;0),"Sim","Não")</f>
        <v/>
      </c>
      <c r="I32" s="32" t="n">
        <v>2897</v>
      </c>
      <c r="J32" s="21">
        <f>I32*C32</f>
        <v/>
      </c>
      <c r="K32" s="20">
        <f>D32+I32</f>
        <v/>
      </c>
      <c r="L32" s="21">
        <f>K32*C32</f>
        <v/>
      </c>
      <c r="M32" s="31">
        <f>IF(G32&gt;0,K32/(G32/30),"—")</f>
        <v/>
      </c>
      <c r="N32" s="22" t="inlineStr">
        <is>
          <t>Reposicao de giro - repoe ate perto do DDE-alvo.</t>
        </is>
      </c>
    </row>
    <row r="33">
      <c r="A33" s="25" t="inlineStr">
        <is>
          <t>FEXOFENADINA 6MG/ML 150ML G VTC</t>
        </is>
      </c>
      <c r="B33" s="25" t="inlineStr">
        <is>
          <t>Atenção</t>
        </is>
      </c>
      <c r="C33" s="26" t="n">
        <v>21.8298</v>
      </c>
      <c r="D33" s="16" t="n">
        <v>683</v>
      </c>
      <c r="E33" s="17">
        <f>C33*D33</f>
        <v/>
      </c>
      <c r="F33" s="27" t="n">
        <v>91.90000000000001</v>
      </c>
      <c r="G33" s="16" t="n">
        <v>223</v>
      </c>
      <c r="H33" s="15">
        <f>IF(AND(F33&lt;Resumo!$B$8,B33&lt;&gt;"Lançamento",G33&gt;0),"Sim","Não")</f>
        <v/>
      </c>
      <c r="I33" s="32" t="n">
        <v>262</v>
      </c>
      <c r="J33" s="17">
        <f>I33*C33</f>
        <v/>
      </c>
      <c r="K33" s="16">
        <f>D33+I33</f>
        <v/>
      </c>
      <c r="L33" s="17">
        <f>K33*C33</f>
        <v/>
      </c>
      <c r="M33" s="27">
        <f>IF(G33&gt;0,K33/(G33/30),"—")</f>
        <v/>
      </c>
      <c r="N33" s="18" t="inlineStr">
        <is>
          <t>Reposicao de giro - repoe ate perto do DDE-alvo.</t>
        </is>
      </c>
    </row>
    <row r="34">
      <c r="A34" s="29" t="inlineStr">
        <is>
          <t>HEMODASE POM 25G 10APL VTC</t>
        </is>
      </c>
      <c r="B34" s="29" t="inlineStr">
        <is>
          <t>Atenção</t>
        </is>
      </c>
      <c r="C34" s="30" t="n">
        <v>14.1797</v>
      </c>
      <c r="D34" s="20" t="n">
        <v>324</v>
      </c>
      <c r="E34" s="21">
        <f>C34*D34</f>
        <v/>
      </c>
      <c r="F34" s="31" t="n">
        <v>65</v>
      </c>
      <c r="G34" s="20" t="n">
        <v>149</v>
      </c>
      <c r="H34" s="19">
        <f>IF(AND(F34&lt;Resumo!$B$8,B34&lt;&gt;"Lançamento",G34&gt;0),"Sim","Não")</f>
        <v/>
      </c>
      <c r="I34" s="32" t="n">
        <v>342</v>
      </c>
      <c r="J34" s="21">
        <f>I34*C34</f>
        <v/>
      </c>
      <c r="K34" s="20">
        <f>D34+I34</f>
        <v/>
      </c>
      <c r="L34" s="21">
        <f>K34*C34</f>
        <v/>
      </c>
      <c r="M34" s="31">
        <f>IF(G34&gt;0,K34/(G34/30),"—")</f>
        <v/>
      </c>
      <c r="N34" s="22" t="inlineStr">
        <is>
          <t>Reposicao de giro - repoe ate perto do DDE-alvo.</t>
        </is>
      </c>
    </row>
    <row r="35">
      <c r="A35" s="25" t="inlineStr">
        <is>
          <t>PREDNISOLONA 3MG/ML SL OR 120ML G VTC</t>
        </is>
      </c>
      <c r="B35" s="25" t="inlineStr">
        <is>
          <t>Atenção</t>
        </is>
      </c>
      <c r="C35" s="26" t="n">
        <v>10.65</v>
      </c>
      <c r="D35" s="16" t="n">
        <v>315</v>
      </c>
      <c r="E35" s="17">
        <f>C35*D35</f>
        <v/>
      </c>
      <c r="F35" s="27" t="n">
        <v>73.8</v>
      </c>
      <c r="G35" s="16" t="n">
        <v>128</v>
      </c>
      <c r="H35" s="15">
        <f>IF(AND(F35&lt;Resumo!$B$8,B35&lt;&gt;"Lançamento",G35&gt;0),"Sim","Não")</f>
        <v/>
      </c>
      <c r="I35" s="32" t="n">
        <v>247</v>
      </c>
      <c r="J35" s="17">
        <f>I35*C35</f>
        <v/>
      </c>
      <c r="K35" s="16">
        <f>D35+I35</f>
        <v/>
      </c>
      <c r="L35" s="17">
        <f>K35*C35</f>
        <v/>
      </c>
      <c r="M35" s="27">
        <f>IF(G35&gt;0,K35/(G35/30),"—")</f>
        <v/>
      </c>
      <c r="N35" s="18" t="inlineStr">
        <is>
          <t>Reposicao de giro - repoe ate perto do DDE-alvo.</t>
        </is>
      </c>
    </row>
    <row r="36">
      <c r="A36" s="29" t="inlineStr">
        <is>
          <t>CLORTALIDONA 50MG 30CPD G VTC</t>
        </is>
      </c>
      <c r="B36" s="29" t="inlineStr">
        <is>
          <t>Atenção</t>
        </is>
      </c>
      <c r="C36" s="30" t="n">
        <v>4.0039</v>
      </c>
      <c r="D36" s="20" t="n">
        <v>772</v>
      </c>
      <c r="E36" s="21">
        <f>C36*D36</f>
        <v/>
      </c>
      <c r="F36" s="31" t="n">
        <v>74.09999999999999</v>
      </c>
      <c r="G36" s="20" t="n">
        <v>312</v>
      </c>
      <c r="H36" s="19">
        <f>IF(AND(F36&lt;Resumo!$B$8,B36&lt;&gt;"Lançamento",G36&gt;0),"Sim","Não")</f>
        <v/>
      </c>
      <c r="I36" s="32" t="n">
        <v>597</v>
      </c>
      <c r="J36" s="21">
        <f>I36*C36</f>
        <v/>
      </c>
      <c r="K36" s="20">
        <f>D36+I36</f>
        <v/>
      </c>
      <c r="L36" s="21">
        <f>K36*C36</f>
        <v/>
      </c>
      <c r="M36" s="31">
        <f>IF(G36&gt;0,K36/(G36/30),"—")</f>
        <v/>
      </c>
      <c r="N36" s="22" t="inlineStr">
        <is>
          <t>Reposicao de giro - repoe ate perto do DDE-alvo.</t>
        </is>
      </c>
    </row>
    <row r="37">
      <c r="A37" s="25" t="inlineStr">
        <is>
          <t>VERTIZAN 10MG 50CPD EQ VTC</t>
        </is>
      </c>
      <c r="B37" s="25" t="inlineStr">
        <is>
          <t>Atenção</t>
        </is>
      </c>
      <c r="C37" s="26" t="n">
        <v>5.1228</v>
      </c>
      <c r="D37" s="16" t="n">
        <v>3035</v>
      </c>
      <c r="E37" s="17">
        <f>C37*D37</f>
        <v/>
      </c>
      <c r="F37" s="27" t="n">
        <v>109.6</v>
      </c>
      <c r="G37" s="16" t="n">
        <v>831</v>
      </c>
      <c r="H37" s="15">
        <f>IF(AND(F37&lt;Resumo!$B$8,B37&lt;&gt;"Lançamento",G37&gt;0),"Sim","Não")</f>
        <v/>
      </c>
      <c r="I37" s="32" t="n">
        <v>362</v>
      </c>
      <c r="J37" s="17">
        <f>I37*C37</f>
        <v/>
      </c>
      <c r="K37" s="16">
        <f>D37+I37</f>
        <v/>
      </c>
      <c r="L37" s="17">
        <f>K37*C37</f>
        <v/>
      </c>
      <c r="M37" s="27">
        <f>IF(G37&gt;0,K37/(G37/30),"—")</f>
        <v/>
      </c>
      <c r="N37" s="18" t="inlineStr">
        <is>
          <t>Reposicao de giro - repoe ate perto do DDE-alvo.</t>
        </is>
      </c>
    </row>
    <row r="38">
      <c r="A38" s="29" t="inlineStr">
        <is>
          <t>ALGY FLANDERIL 600MG 30CPD VTC</t>
        </is>
      </c>
      <c r="B38" s="29" t="inlineStr">
        <is>
          <t>Atenção</t>
        </is>
      </c>
      <c r="C38" s="30" t="n">
        <v>5.51</v>
      </c>
      <c r="D38" s="20" t="n">
        <v>494</v>
      </c>
      <c r="E38" s="21">
        <f>C38*D38</f>
        <v/>
      </c>
      <c r="F38" s="31" t="n">
        <v>81</v>
      </c>
      <c r="G38" s="20" t="n">
        <v>183</v>
      </c>
      <c r="H38" s="19">
        <f>IF(AND(F38&lt;Resumo!$B$8,B38&lt;&gt;"Lançamento",G38&gt;0),"Sim","Não")</f>
        <v/>
      </c>
      <c r="I38" s="32" t="n">
        <v>298</v>
      </c>
      <c r="J38" s="21">
        <f>I38*C38</f>
        <v/>
      </c>
      <c r="K38" s="20">
        <f>D38+I38</f>
        <v/>
      </c>
      <c r="L38" s="21">
        <f>K38*C38</f>
        <v/>
      </c>
      <c r="M38" s="31">
        <f>IF(G38&gt;0,K38/(G38/30),"—")</f>
        <v/>
      </c>
      <c r="N38" s="22" t="inlineStr">
        <is>
          <t>Reposicao de giro - repoe ate perto do DDE-alvo.</t>
        </is>
      </c>
    </row>
    <row r="39">
      <c r="A39" s="25" t="inlineStr">
        <is>
          <t>ACICLOVIR 50MG/G CRM 10G G VTC</t>
        </is>
      </c>
      <c r="B39" s="25" t="inlineStr">
        <is>
          <t>Atenção</t>
        </is>
      </c>
      <c r="C39" s="26" t="n">
        <v>3.5386</v>
      </c>
      <c r="D39" s="16" t="n">
        <v>361</v>
      </c>
      <c r="E39" s="17">
        <f>C39*D39</f>
        <v/>
      </c>
      <c r="F39" s="27" t="n">
        <v>60.8</v>
      </c>
      <c r="G39" s="16" t="n">
        <v>178</v>
      </c>
      <c r="H39" s="15">
        <f>IF(AND(F39&lt;Resumo!$B$8,B39&lt;&gt;"Lançamento",G39&gt;0),"Sim","Não")</f>
        <v/>
      </c>
      <c r="I39" s="32" t="n">
        <v>439</v>
      </c>
      <c r="J39" s="17">
        <f>I39*C39</f>
        <v/>
      </c>
      <c r="K39" s="16">
        <f>D39+I39</f>
        <v/>
      </c>
      <c r="L39" s="17">
        <f>K39*C39</f>
        <v/>
      </c>
      <c r="M39" s="27">
        <f>IF(G39&gt;0,K39/(G39/30),"—")</f>
        <v/>
      </c>
      <c r="N39" s="18" t="inlineStr">
        <is>
          <t>Reposicao de giro - repoe ate perto do DDE-alvo.</t>
        </is>
      </c>
    </row>
    <row r="40">
      <c r="A40" s="29" t="inlineStr">
        <is>
          <t>AFECSO 6MG/ML SUSP ORAL 60ML VTC</t>
        </is>
      </c>
      <c r="B40" s="29" t="inlineStr">
        <is>
          <t>Atenção</t>
        </is>
      </c>
      <c r="C40" s="30" t="n">
        <v>10.6173</v>
      </c>
      <c r="D40" s="20" t="n">
        <v>155</v>
      </c>
      <c r="E40" s="21">
        <f>C40*D40</f>
        <v/>
      </c>
      <c r="F40" s="31" t="n">
        <v>72.7</v>
      </c>
      <c r="G40" s="20" t="n">
        <v>64</v>
      </c>
      <c r="H40" s="19">
        <f>IF(AND(F40&lt;Resumo!$B$8,B40&lt;&gt;"Lançamento",G40&gt;0),"Sim","Não")</f>
        <v/>
      </c>
      <c r="I40" s="32" t="n">
        <v>126</v>
      </c>
      <c r="J40" s="21">
        <f>I40*C40</f>
        <v/>
      </c>
      <c r="K40" s="20">
        <f>D40+I40</f>
        <v/>
      </c>
      <c r="L40" s="21">
        <f>K40*C40</f>
        <v/>
      </c>
      <c r="M40" s="31">
        <f>IF(G40&gt;0,K40/(G40/30),"—")</f>
        <v/>
      </c>
      <c r="N40" s="22" t="inlineStr">
        <is>
          <t>Reposicao de giro - repoe ate perto do DDE-alvo.</t>
        </is>
      </c>
    </row>
    <row r="41">
      <c r="A41" s="25" t="inlineStr">
        <is>
          <t>ALGY-FLANDERIL 300MG 20CPD VTC</t>
        </is>
      </c>
      <c r="B41" s="25" t="inlineStr">
        <is>
          <t>Atenção</t>
        </is>
      </c>
      <c r="C41" s="26" t="n">
        <v>2.8988</v>
      </c>
      <c r="D41" s="16" t="n">
        <v>1361</v>
      </c>
      <c r="E41" s="17">
        <f>C41*D41</f>
        <v/>
      </c>
      <c r="F41" s="27" t="n">
        <v>97.2</v>
      </c>
      <c r="G41" s="16" t="n">
        <v>420</v>
      </c>
      <c r="H41" s="15">
        <f>IF(AND(F41&lt;Resumo!$B$8,B41&lt;&gt;"Lançamento",G41&gt;0),"Sim","Não")</f>
        <v/>
      </c>
      <c r="I41" s="32" t="n">
        <v>399</v>
      </c>
      <c r="J41" s="17">
        <f>I41*C41</f>
        <v/>
      </c>
      <c r="K41" s="16">
        <f>D41+I41</f>
        <v/>
      </c>
      <c r="L41" s="17">
        <f>K41*C41</f>
        <v/>
      </c>
      <c r="M41" s="27">
        <f>IF(G41&gt;0,K41/(G41/30),"—")</f>
        <v/>
      </c>
      <c r="N41" s="18" t="inlineStr">
        <is>
          <t>Reposicao de giro - repoe ate perto do DDE-alvo.</t>
        </is>
      </c>
    </row>
    <row r="42">
      <c r="A42" s="29" t="inlineStr">
        <is>
          <t>ENERGRIP C TRIP ACAO 30CDP EFERV VTC</t>
        </is>
      </c>
      <c r="B42" s="29" t="inlineStr">
        <is>
          <t>Atenção</t>
        </is>
      </c>
      <c r="C42" s="30" t="n">
        <v>13.8592</v>
      </c>
      <c r="D42" s="20" t="n">
        <v>152</v>
      </c>
      <c r="E42" s="21">
        <f>C42*D42</f>
        <v/>
      </c>
      <c r="F42" s="31" t="n">
        <v>84.40000000000001</v>
      </c>
      <c r="G42" s="20" t="n">
        <v>54</v>
      </c>
      <c r="H42" s="19">
        <f>IF(AND(F42&lt;Resumo!$B$8,B42&lt;&gt;"Lançamento",G42&gt;0),"Sim","Não")</f>
        <v/>
      </c>
      <c r="I42" s="32" t="n">
        <v>80</v>
      </c>
      <c r="J42" s="21">
        <f>I42*C42</f>
        <v/>
      </c>
      <c r="K42" s="20">
        <f>D42+I42</f>
        <v/>
      </c>
      <c r="L42" s="21">
        <f>K42*C42</f>
        <v/>
      </c>
      <c r="M42" s="31">
        <f>IF(G42&gt;0,K42/(G42/30),"—")</f>
        <v/>
      </c>
      <c r="N42" s="22" t="inlineStr">
        <is>
          <t>Reposicao de giro - repoe ate perto do DDE-alvo.</t>
        </is>
      </c>
    </row>
    <row r="43">
      <c r="A43" s="25" t="inlineStr">
        <is>
          <t>HEPATOVIT BOLDO DISP 60FLAC 10ML VTC</t>
        </is>
      </c>
      <c r="B43" s="25" t="inlineStr">
        <is>
          <t>Atenção</t>
        </is>
      </c>
      <c r="C43" s="26" t="n">
        <v>33.1477</v>
      </c>
      <c r="D43" s="16" t="n">
        <v>280</v>
      </c>
      <c r="E43" s="17">
        <f>C43*D43</f>
        <v/>
      </c>
      <c r="F43" s="27" t="n">
        <v>110.5</v>
      </c>
      <c r="G43" s="16" t="n">
        <v>76</v>
      </c>
      <c r="H43" s="15">
        <f>IF(AND(F43&lt;Resumo!$B$8,B43&lt;&gt;"Lançamento",G43&gt;0),"Sim","Não")</f>
        <v/>
      </c>
      <c r="I43" s="32" t="n">
        <v>30</v>
      </c>
      <c r="J43" s="17">
        <f>I43*C43</f>
        <v/>
      </c>
      <c r="K43" s="16">
        <f>D43+I43</f>
        <v/>
      </c>
      <c r="L43" s="17">
        <f>K43*C43</f>
        <v/>
      </c>
      <c r="M43" s="27">
        <f>IF(G43&gt;0,K43/(G43/30),"—")</f>
        <v/>
      </c>
      <c r="N43" s="18" t="inlineStr">
        <is>
          <t>Reposicao de giro - repoe ate perto do DDE-alvo.</t>
        </is>
      </c>
    </row>
    <row r="44">
      <c r="A44" s="29" t="inlineStr">
        <is>
          <t>LIMP LENT SOL ESTERIL 350+120ML+EST VTC</t>
        </is>
      </c>
      <c r="B44" s="29" t="inlineStr">
        <is>
          <t>Atenção</t>
        </is>
      </c>
      <c r="C44" s="30" t="n">
        <v>28.1167</v>
      </c>
      <c r="D44" s="20" t="n">
        <v>430</v>
      </c>
      <c r="E44" s="21">
        <f>C44*D44</f>
        <v/>
      </c>
      <c r="F44" s="31" t="n">
        <v>112.6</v>
      </c>
      <c r="G44" s="20" t="n">
        <v>114</v>
      </c>
      <c r="H44" s="19">
        <f>IF(AND(F44&lt;Resumo!$B$8,B44&lt;&gt;"Lançamento",G44&gt;0),"Sim","Não")</f>
        <v/>
      </c>
      <c r="I44" s="32" t="n">
        <v>35</v>
      </c>
      <c r="J44" s="21">
        <f>I44*C44</f>
        <v/>
      </c>
      <c r="K44" s="20">
        <f>D44+I44</f>
        <v/>
      </c>
      <c r="L44" s="21">
        <f>K44*C44</f>
        <v/>
      </c>
      <c r="M44" s="31">
        <f>IF(G44&gt;0,K44/(G44/30),"—")</f>
        <v/>
      </c>
      <c r="N44" s="22" t="inlineStr">
        <is>
          <t>Reposicao de giro - repoe ate perto do DDE-alvo.</t>
        </is>
      </c>
    </row>
    <row r="45">
      <c r="A45" s="25" t="inlineStr">
        <is>
          <t>DEXCLORFENIRAMINA 4ML SL OR 120ML G VTC</t>
        </is>
      </c>
      <c r="B45" s="25" t="inlineStr">
        <is>
          <t>Atenção</t>
        </is>
      </c>
      <c r="C45" s="26" t="n">
        <v>4.1599</v>
      </c>
      <c r="D45" s="16" t="n">
        <v>277</v>
      </c>
      <c r="E45" s="17">
        <f>C45*D45</f>
        <v/>
      </c>
      <c r="F45" s="27" t="n">
        <v>83.09999999999999</v>
      </c>
      <c r="G45" s="16" t="n">
        <v>100</v>
      </c>
      <c r="H45" s="15">
        <f>IF(AND(F45&lt;Resumo!$B$8,B45&lt;&gt;"Lançamento",G45&gt;0),"Sim","Não")</f>
        <v/>
      </c>
      <c r="I45" s="32" t="n">
        <v>154</v>
      </c>
      <c r="J45" s="17">
        <f>I45*C45</f>
        <v/>
      </c>
      <c r="K45" s="16">
        <f>D45+I45</f>
        <v/>
      </c>
      <c r="L45" s="17">
        <f>K45*C45</f>
        <v/>
      </c>
      <c r="M45" s="27">
        <f>IF(G45&gt;0,K45/(G45/30),"—")</f>
        <v/>
      </c>
      <c r="N45" s="18" t="inlineStr">
        <is>
          <t>Reposicao de giro - repoe ate perto do DDE-alvo.</t>
        </is>
      </c>
    </row>
    <row r="46">
      <c r="A46" s="29" t="inlineStr">
        <is>
          <t>PARACETAMOL 750MG 20X10CPD VTC</t>
        </is>
      </c>
      <c r="B46" s="29" t="inlineStr">
        <is>
          <t>Atenção</t>
        </is>
      </c>
      <c r="C46" s="30" t="n">
        <v>28.41</v>
      </c>
      <c r="D46" s="20" t="n">
        <v>40</v>
      </c>
      <c r="E46" s="21">
        <f>C46*D46</f>
        <v/>
      </c>
      <c r="F46" s="31" t="n">
        <v>85.7</v>
      </c>
      <c r="G46" s="20" t="n">
        <v>14</v>
      </c>
      <c r="H46" s="19">
        <f>IF(AND(F46&lt;Resumo!$B$8,B46&lt;&gt;"Lançamento",G46&gt;0),"Sim","Não")</f>
        <v/>
      </c>
      <c r="I46" s="32" t="n">
        <v>20</v>
      </c>
      <c r="J46" s="21">
        <f>I46*C46</f>
        <v/>
      </c>
      <c r="K46" s="20">
        <f>D46+I46</f>
        <v/>
      </c>
      <c r="L46" s="21">
        <f>K46*C46</f>
        <v/>
      </c>
      <c r="M46" s="31">
        <f>IF(G46&gt;0,K46/(G46/30),"—")</f>
        <v/>
      </c>
      <c r="N46" s="22" t="inlineStr">
        <is>
          <t>Reposicao de giro - repoe ate perto do DDE-alvo.</t>
        </is>
      </c>
    </row>
    <row r="47">
      <c r="A47" s="25" t="inlineStr">
        <is>
          <t>SULF+TRIMETO 400+80MG 20CPD (AM) G VTC</t>
        </is>
      </c>
      <c r="B47" s="25" t="inlineStr">
        <is>
          <t>Atenção</t>
        </is>
      </c>
      <c r="C47" s="26" t="n">
        <v>4.67</v>
      </c>
      <c r="D47" s="16" t="n">
        <v>256</v>
      </c>
      <c r="E47" s="17">
        <f>C47*D47</f>
        <v/>
      </c>
      <c r="F47" s="27" t="n">
        <v>88.3</v>
      </c>
      <c r="G47" s="16" t="n">
        <v>87</v>
      </c>
      <c r="H47" s="15">
        <f>IF(AND(F47&lt;Resumo!$B$8,B47&lt;&gt;"Lançamento",G47&gt;0),"Sim","Não")</f>
        <v/>
      </c>
      <c r="I47" s="32" t="n">
        <v>115</v>
      </c>
      <c r="J47" s="17">
        <f>I47*C47</f>
        <v/>
      </c>
      <c r="K47" s="16">
        <f>D47+I47</f>
        <v/>
      </c>
      <c r="L47" s="17">
        <f>K47*C47</f>
        <v/>
      </c>
      <c r="M47" s="27">
        <f>IF(G47&gt;0,K47/(G47/30),"—")</f>
        <v/>
      </c>
      <c r="N47" s="18" t="inlineStr">
        <is>
          <t>Reposicao de giro - repoe ate perto do DDE-alvo.</t>
        </is>
      </c>
    </row>
    <row r="48">
      <c r="A48" s="29" t="inlineStr">
        <is>
          <t>SECNIDAZOL 1000MG 2CPD G VTC</t>
        </is>
      </c>
      <c r="B48" s="29" t="inlineStr">
        <is>
          <t>Atenção</t>
        </is>
      </c>
      <c r="C48" s="30" t="n">
        <v>2.8201</v>
      </c>
      <c r="D48" s="20" t="n">
        <v>522</v>
      </c>
      <c r="E48" s="21">
        <f>C48*D48</f>
        <v/>
      </c>
      <c r="F48" s="31" t="n">
        <v>96.7</v>
      </c>
      <c r="G48" s="20" t="n">
        <v>162</v>
      </c>
      <c r="H48" s="19">
        <f>IF(AND(F48&lt;Resumo!$B$8,B48&lt;&gt;"Lançamento",G48&gt;0),"Sim","Não")</f>
        <v/>
      </c>
      <c r="I48" s="32" t="n">
        <v>158</v>
      </c>
      <c r="J48" s="21">
        <f>I48*C48</f>
        <v/>
      </c>
      <c r="K48" s="20">
        <f>D48+I48</f>
        <v/>
      </c>
      <c r="L48" s="21">
        <f>K48*C48</f>
        <v/>
      </c>
      <c r="M48" s="31">
        <f>IF(G48&gt;0,K48/(G48/30),"—")</f>
        <v/>
      </c>
      <c r="N48" s="22" t="inlineStr">
        <is>
          <t>Reposicao de giro - repoe ate perto do DDE-alvo.</t>
        </is>
      </c>
    </row>
    <row r="49">
      <c r="A49" s="25" t="inlineStr">
        <is>
          <t>VITAMINA D3 7000UI 30CPD VTC</t>
        </is>
      </c>
      <c r="B49" s="25" t="inlineStr">
        <is>
          <t>Atenção</t>
        </is>
      </c>
      <c r="C49" s="26" t="n">
        <v>12.588</v>
      </c>
      <c r="D49" s="16" t="n">
        <v>33</v>
      </c>
      <c r="E49" s="17">
        <f>C49*D49</f>
        <v/>
      </c>
      <c r="F49" s="27" t="n">
        <v>66</v>
      </c>
      <c r="G49" s="16" t="n">
        <v>15</v>
      </c>
      <c r="H49" s="15">
        <f>IF(AND(F49&lt;Resumo!$B$8,B49&lt;&gt;"Lançamento",G49&gt;0),"Sim","Não")</f>
        <v/>
      </c>
      <c r="I49" s="32" t="n">
        <v>34</v>
      </c>
      <c r="J49" s="17">
        <f>I49*C49</f>
        <v/>
      </c>
      <c r="K49" s="16">
        <f>D49+I49</f>
        <v/>
      </c>
      <c r="L49" s="17">
        <f>K49*C49</f>
        <v/>
      </c>
      <c r="M49" s="27">
        <f>IF(G49&gt;0,K49/(G49/30),"—")</f>
        <v/>
      </c>
      <c r="N49" s="18" t="inlineStr">
        <is>
          <t>Reposicao de giro - repoe ate perto do DDE-alvo.</t>
        </is>
      </c>
    </row>
    <row r="50">
      <c r="A50" s="29" t="inlineStr">
        <is>
          <t>IBUPROFENO 600MG 20CPD G VTC</t>
        </is>
      </c>
      <c r="B50" s="29" t="inlineStr">
        <is>
          <t>Atenção</t>
        </is>
      </c>
      <c r="C50" s="30" t="n">
        <v>3.4395</v>
      </c>
      <c r="D50" s="20" t="n">
        <v>8054</v>
      </c>
      <c r="E50" s="21">
        <f>C50*D50</f>
        <v/>
      </c>
      <c r="F50" s="31" t="n">
        <v>118.6</v>
      </c>
      <c r="G50" s="20" t="n">
        <v>2012</v>
      </c>
      <c r="H50" s="19">
        <f>IF(AND(F50&lt;Resumo!$B$8,B50&lt;&gt;"Lançamento",G50&gt;0),"Sim","Não")</f>
        <v/>
      </c>
      <c r="I50" s="32" t="n">
        <v>118</v>
      </c>
      <c r="J50" s="21">
        <f>I50*C50</f>
        <v/>
      </c>
      <c r="K50" s="20">
        <f>D50+I50</f>
        <v/>
      </c>
      <c r="L50" s="21">
        <f>K50*C50</f>
        <v/>
      </c>
      <c r="M50" s="31">
        <f>IF(G50&gt;0,K50/(G50/30),"—")</f>
        <v/>
      </c>
      <c r="N50" s="22" t="inlineStr">
        <is>
          <t>Reposicao de giro - repoe ate perto do DDE-alvo.</t>
        </is>
      </c>
    </row>
    <row r="51">
      <c r="A51" s="25" t="inlineStr">
        <is>
          <t>METFORMINA 500MG 30CPD G VTC</t>
        </is>
      </c>
      <c r="B51" s="25" t="inlineStr">
        <is>
          <t>Atenção</t>
        </is>
      </c>
      <c r="C51" s="26" t="n">
        <v>3.3954</v>
      </c>
      <c r="D51" s="16" t="n">
        <v>460</v>
      </c>
      <c r="E51" s="17">
        <f>C51*D51</f>
        <v/>
      </c>
      <c r="F51" s="27" t="n">
        <v>103.8</v>
      </c>
      <c r="G51" s="16" t="n">
        <v>133</v>
      </c>
      <c r="H51" s="15">
        <f>IF(AND(F51&lt;Resumo!$B$8,B51&lt;&gt;"Lançamento",G51&gt;0),"Sim","Não")</f>
        <v/>
      </c>
      <c r="I51" s="32" t="n">
        <v>90</v>
      </c>
      <c r="J51" s="17">
        <f>I51*C51</f>
        <v/>
      </c>
      <c r="K51" s="16">
        <f>D51+I51</f>
        <v/>
      </c>
      <c r="L51" s="17">
        <f>K51*C51</f>
        <v/>
      </c>
      <c r="M51" s="27">
        <f>IF(G51&gt;0,K51/(G51/30),"—")</f>
        <v/>
      </c>
      <c r="N51" s="18" t="inlineStr">
        <is>
          <t>Reposicao de giro - repoe ate perto do DDE-alvo.</t>
        </is>
      </c>
    </row>
    <row r="52">
      <c r="A52" s="29" t="inlineStr">
        <is>
          <t>RISPERIDONA 1MG 30CPD (C1) G VTC</t>
        </is>
      </c>
      <c r="B52" s="29" t="inlineStr">
        <is>
          <t>Atenção</t>
        </is>
      </c>
      <c r="C52" s="30" t="n">
        <v>5.7545</v>
      </c>
      <c r="D52" s="20" t="n">
        <v>97</v>
      </c>
      <c r="E52" s="21">
        <f>C52*D52</f>
        <v/>
      </c>
      <c r="F52" s="31" t="n">
        <v>90.90000000000001</v>
      </c>
      <c r="G52" s="20" t="n">
        <v>32</v>
      </c>
      <c r="H52" s="19">
        <f>IF(AND(F52&lt;Resumo!$B$8,B52&lt;&gt;"Lançamento",G52&gt;0),"Sim","Não")</f>
        <v/>
      </c>
      <c r="I52" s="32" t="n">
        <v>39</v>
      </c>
      <c r="J52" s="21">
        <f>I52*C52</f>
        <v/>
      </c>
      <c r="K52" s="20">
        <f>D52+I52</f>
        <v/>
      </c>
      <c r="L52" s="21">
        <f>K52*C52</f>
        <v/>
      </c>
      <c r="M52" s="31">
        <f>IF(G52&gt;0,K52/(G52/30),"—")</f>
        <v/>
      </c>
      <c r="N52" s="22" t="inlineStr">
        <is>
          <t>Reposicao de giro - repoe ate perto do DDE-alvo.</t>
        </is>
      </c>
    </row>
    <row r="53">
      <c r="A53" s="25" t="inlineStr">
        <is>
          <t>SECDAZOL 1000MG 2CPD VTC</t>
        </is>
      </c>
      <c r="B53" s="25" t="inlineStr">
        <is>
          <t>Atenção</t>
        </is>
      </c>
      <c r="C53" s="26" t="n">
        <v>2.7554</v>
      </c>
      <c r="D53" s="16" t="n">
        <v>93</v>
      </c>
      <c r="E53" s="17">
        <f>C53*D53</f>
        <v/>
      </c>
      <c r="F53" s="27" t="n">
        <v>71.5</v>
      </c>
      <c r="G53" s="16" t="n">
        <v>39</v>
      </c>
      <c r="H53" s="15">
        <f>IF(AND(F53&lt;Resumo!$B$8,B53&lt;&gt;"Lançamento",G53&gt;0),"Sim","Não")</f>
        <v/>
      </c>
      <c r="I53" s="32" t="n">
        <v>79</v>
      </c>
      <c r="J53" s="17">
        <f>I53*C53</f>
        <v/>
      </c>
      <c r="K53" s="16">
        <f>D53+I53</f>
        <v/>
      </c>
      <c r="L53" s="17">
        <f>K53*C53</f>
        <v/>
      </c>
      <c r="M53" s="27">
        <f>IF(G53&gt;0,K53/(G53/30),"—")</f>
        <v/>
      </c>
      <c r="N53" s="18" t="inlineStr">
        <is>
          <t>Reposicao de giro - repoe ate perto do DDE-alvo.</t>
        </is>
      </c>
    </row>
    <row r="54">
      <c r="A54" s="29" t="inlineStr">
        <is>
          <t>KATRIZAN 5MG/G+250 UI/G POM 10G VTC</t>
        </is>
      </c>
      <c r="B54" s="29" t="inlineStr">
        <is>
          <t>Atenção</t>
        </is>
      </c>
      <c r="C54" s="30" t="n">
        <v>3.7437</v>
      </c>
      <c r="D54" s="20" t="n">
        <v>79</v>
      </c>
      <c r="E54" s="21">
        <f>C54*D54</f>
        <v/>
      </c>
      <c r="F54" s="31" t="n">
        <v>76.5</v>
      </c>
      <c r="G54" s="20" t="n">
        <v>31</v>
      </c>
      <c r="H54" s="19">
        <f>IF(AND(F54&lt;Resumo!$B$8,B54&lt;&gt;"Lançamento",G54&gt;0),"Sim","Não")</f>
        <v/>
      </c>
      <c r="I54" s="32" t="n">
        <v>56</v>
      </c>
      <c r="J54" s="21">
        <f>I54*C54</f>
        <v/>
      </c>
      <c r="K54" s="20">
        <f>D54+I54</f>
        <v/>
      </c>
      <c r="L54" s="21">
        <f>K54*C54</f>
        <v/>
      </c>
      <c r="M54" s="31">
        <f>IF(G54&gt;0,K54/(G54/30),"—")</f>
        <v/>
      </c>
      <c r="N54" s="22" t="inlineStr">
        <is>
          <t>Reposicao de giro - repoe ate perto do DDE-alvo.</t>
        </is>
      </c>
    </row>
    <row r="55">
      <c r="A55" s="25" t="inlineStr">
        <is>
          <t>BUTACID 200MG 20CPD EQ VTC</t>
        </is>
      </c>
      <c r="B55" s="25" t="inlineStr">
        <is>
          <t>Atenção</t>
        </is>
      </c>
      <c r="C55" s="26" t="n">
        <v>8.194900000000001</v>
      </c>
      <c r="D55" s="16" t="n">
        <v>555</v>
      </c>
      <c r="E55" s="17">
        <f>C55*D55</f>
        <v/>
      </c>
      <c r="F55" s="27" t="n">
        <v>116.2</v>
      </c>
      <c r="G55" s="16" t="n">
        <v>143</v>
      </c>
      <c r="H55" s="15">
        <f>IF(AND(F55&lt;Resumo!$B$8,B55&lt;&gt;"Lançamento",G55&gt;0),"Sim","Não")</f>
        <v/>
      </c>
      <c r="I55" s="32" t="n">
        <v>23</v>
      </c>
      <c r="J55" s="17">
        <f>I55*C55</f>
        <v/>
      </c>
      <c r="K55" s="16">
        <f>D55+I55</f>
        <v/>
      </c>
      <c r="L55" s="17">
        <f>K55*C55</f>
        <v/>
      </c>
      <c r="M55" s="27">
        <f>IF(G55&gt;0,K55/(G55/30),"—")</f>
        <v/>
      </c>
      <c r="N55" s="18" t="inlineStr">
        <is>
          <t>Reposicao de giro - repoe ate perto do DDE-alvo.</t>
        </is>
      </c>
    </row>
    <row r="56">
      <c r="A56" s="29" t="inlineStr">
        <is>
          <t>NIMESULIDA 50MG/ML SUSP ORAL 15ML G VTC</t>
        </is>
      </c>
      <c r="B56" s="29" t="inlineStr">
        <is>
          <t>Atenção</t>
        </is>
      </c>
      <c r="C56" s="30" t="n">
        <v>1.6308</v>
      </c>
      <c r="D56" s="20" t="n">
        <v>418</v>
      </c>
      <c r="E56" s="21">
        <f>C56*D56</f>
        <v/>
      </c>
      <c r="F56" s="31" t="n">
        <v>111</v>
      </c>
      <c r="G56" s="20" t="n">
        <v>113</v>
      </c>
      <c r="H56" s="19">
        <f>IF(AND(F56&lt;Resumo!$B$8,B56&lt;&gt;"Lançamento",G56&gt;0),"Sim","Não")</f>
        <v/>
      </c>
      <c r="I56" s="32" t="n">
        <v>43</v>
      </c>
      <c r="J56" s="21">
        <f>I56*C56</f>
        <v/>
      </c>
      <c r="K56" s="20">
        <f>D56+I56</f>
        <v/>
      </c>
      <c r="L56" s="21">
        <f>K56*C56</f>
        <v/>
      </c>
      <c r="M56" s="31">
        <f>IF(G56&gt;0,K56/(G56/30),"—")</f>
        <v/>
      </c>
      <c r="N56" s="22" t="inlineStr">
        <is>
          <t>Reposicao de giro - repoe ate perto do DDE-alvo.</t>
        </is>
      </c>
    </row>
    <row r="57">
      <c r="A57" s="25" t="inlineStr">
        <is>
          <t>DIMENIDRIN 25+5MG/ML SL OR 20ML VTC</t>
        </is>
      </c>
      <c r="B57" s="25" t="inlineStr">
        <is>
          <t>Atenção</t>
        </is>
      </c>
      <c r="C57" s="26" t="n">
        <v>5.1059</v>
      </c>
      <c r="D57" s="16" t="n">
        <v>60</v>
      </c>
      <c r="E57" s="17">
        <f>C57*D57</f>
        <v/>
      </c>
      <c r="F57" s="27" t="n">
        <v>112.5</v>
      </c>
      <c r="G57" s="16" t="n">
        <v>16</v>
      </c>
      <c r="H57" s="15">
        <f>IF(AND(F57&lt;Resumo!$B$8,B57&lt;&gt;"Lançamento",G57&gt;0),"Sim","Não")</f>
        <v/>
      </c>
      <c r="I57" s="32" t="n">
        <v>5</v>
      </c>
      <c r="J57" s="17">
        <f>I57*C57</f>
        <v/>
      </c>
      <c r="K57" s="16">
        <f>D57+I57</f>
        <v/>
      </c>
      <c r="L57" s="17">
        <f>K57*C57</f>
        <v/>
      </c>
      <c r="M57" s="27">
        <f>IF(G57&gt;0,K57/(G57/30),"—")</f>
        <v/>
      </c>
      <c r="N57" s="18" t="inlineStr">
        <is>
          <t>Reposicao de giro - repoe ate perto do DDE-alvo.</t>
        </is>
      </c>
    </row>
    <row r="58">
      <c r="A58" s="29" t="inlineStr">
        <is>
          <t>ENALAPRIL 10MG 30CPD G VTC</t>
        </is>
      </c>
      <c r="B58" s="29" t="inlineStr">
        <is>
          <t>Crítico</t>
        </is>
      </c>
      <c r="C58" s="30" t="n">
        <v>2.4295</v>
      </c>
      <c r="D58" s="20" t="n">
        <v>30015</v>
      </c>
      <c r="E58" s="21">
        <f>C58*D58</f>
        <v/>
      </c>
      <c r="F58" s="31" t="n">
        <v>217.7</v>
      </c>
      <c r="G58" s="20" t="n">
        <v>4128</v>
      </c>
      <c r="H58" s="19">
        <f>IF(AND(F58&lt;Resumo!$B$8,B58&lt;&gt;"Lançamento",G58&gt;0),"Sim","Não")</f>
        <v/>
      </c>
      <c r="I58" s="28" t="n">
        <v>0</v>
      </c>
      <c r="J58" s="21">
        <f>I58*C58</f>
        <v/>
      </c>
      <c r="K58" s="20">
        <f>D58+I58</f>
        <v/>
      </c>
      <c r="L58" s="21">
        <f>K58*C58</f>
        <v/>
      </c>
      <c r="M58" s="31">
        <f>IF(G58&gt;0,K58/(G58/30),"—")</f>
        <v/>
      </c>
      <c r="N58" s="22" t="inlineStr">
        <is>
          <t>Cobertura acima do teto elegivel - sem compra. Ver secao 12/17 do dossie.</t>
        </is>
      </c>
    </row>
    <row r="59">
      <c r="A59" s="25" t="inlineStr">
        <is>
          <t>NIMELIT 100MG 12CPD VTC</t>
        </is>
      </c>
      <c r="B59" s="25" t="inlineStr">
        <is>
          <t>Crítico</t>
        </is>
      </c>
      <c r="C59" s="26" t="n">
        <v>1.196</v>
      </c>
      <c r="D59" s="16" t="n">
        <v>5972</v>
      </c>
      <c r="E59" s="17">
        <f>C59*D59</f>
        <v/>
      </c>
      <c r="F59" s="27" t="n">
        <v>356.9</v>
      </c>
      <c r="G59" s="16" t="n">
        <v>502</v>
      </c>
      <c r="H59" s="15">
        <f>IF(AND(F59&lt;Resumo!$B$8,B59&lt;&gt;"Lançamento",G59&gt;0),"Sim","Não")</f>
        <v/>
      </c>
      <c r="I59" s="28" t="n">
        <v>0</v>
      </c>
      <c r="J59" s="17">
        <f>I59*C59</f>
        <v/>
      </c>
      <c r="K59" s="16">
        <f>D59+I59</f>
        <v/>
      </c>
      <c r="L59" s="17">
        <f>K59*C59</f>
        <v/>
      </c>
      <c r="M59" s="27">
        <f>IF(G59&gt;0,K59/(G59/30),"—")</f>
        <v/>
      </c>
      <c r="N59" s="18" t="inlineStr">
        <is>
          <t>Cobertura acima do teto elegivel - sem compra. Ver secao 12/17 do dossie.</t>
        </is>
      </c>
    </row>
    <row r="60">
      <c r="A60" s="29" t="inlineStr">
        <is>
          <t>ALGY-FLANDERIL 600MG 20CPD VTC</t>
        </is>
      </c>
      <c r="B60" s="29" t="inlineStr">
        <is>
          <t>Crítico</t>
        </is>
      </c>
      <c r="C60" s="30" t="n">
        <v>3.4252</v>
      </c>
      <c r="D60" s="20" t="n">
        <v>3305</v>
      </c>
      <c r="E60" s="21">
        <f>C60*D60</f>
        <v/>
      </c>
      <c r="F60" s="31" t="n">
        <v>201.5</v>
      </c>
      <c r="G60" s="20" t="n">
        <v>492</v>
      </c>
      <c r="H60" s="19">
        <f>IF(AND(F60&lt;Resumo!$B$8,B60&lt;&gt;"Lançamento",G60&gt;0),"Sim","Não")</f>
        <v/>
      </c>
      <c r="I60" s="28" t="n">
        <v>0</v>
      </c>
      <c r="J60" s="21">
        <f>I60*C60</f>
        <v/>
      </c>
      <c r="K60" s="20">
        <f>D60+I60</f>
        <v/>
      </c>
      <c r="L60" s="21">
        <f>K60*C60</f>
        <v/>
      </c>
      <c r="M60" s="31">
        <f>IF(G60&gt;0,K60/(G60/30),"—")</f>
        <v/>
      </c>
      <c r="N60" s="22" t="inlineStr">
        <is>
          <t>Cobertura acima do teto elegivel - sem compra. Ver secao 12/17 do dossie.</t>
        </is>
      </c>
    </row>
    <row r="61">
      <c r="A61" s="25" t="inlineStr">
        <is>
          <t>FLUCONID 150MG 2CAP EQ VTC</t>
        </is>
      </c>
      <c r="B61" s="25" t="inlineStr">
        <is>
          <t>Crítico</t>
        </is>
      </c>
      <c r="C61" s="26" t="n">
        <v>1.2307</v>
      </c>
      <c r="D61" s="16" t="n">
        <v>2086</v>
      </c>
      <c r="E61" s="17">
        <f>C61*D61</f>
        <v/>
      </c>
      <c r="F61" s="27" t="n">
        <v>188.5</v>
      </c>
      <c r="G61" s="16" t="n">
        <v>332</v>
      </c>
      <c r="H61" s="15">
        <f>IF(AND(F61&lt;Resumo!$B$8,B61&lt;&gt;"Lançamento",G61&gt;0),"Sim","Não")</f>
        <v/>
      </c>
      <c r="I61" s="28" t="n">
        <v>0</v>
      </c>
      <c r="J61" s="17">
        <f>I61*C61</f>
        <v/>
      </c>
      <c r="K61" s="16">
        <f>D61+I61</f>
        <v/>
      </c>
      <c r="L61" s="17">
        <f>K61*C61</f>
        <v/>
      </c>
      <c r="M61" s="27">
        <f>IF(G61&gt;0,K61/(G61/30),"—")</f>
        <v/>
      </c>
      <c r="N61" s="18" t="inlineStr">
        <is>
          <t>Cobertura acima do teto elegivel - sem compra. Ver secao 12/17 do dossie.</t>
        </is>
      </c>
    </row>
    <row r="62">
      <c r="A62" s="29" t="inlineStr">
        <is>
          <t>GUACO VITAMEDIC XPE 100ML VTC</t>
        </is>
      </c>
      <c r="B62" s="29" t="inlineStr">
        <is>
          <t>Crítico</t>
        </is>
      </c>
      <c r="C62" s="30" t="n">
        <v>5.3666</v>
      </c>
      <c r="D62" s="20" t="n">
        <v>779</v>
      </c>
      <c r="E62" s="21">
        <f>C62*D62</f>
        <v/>
      </c>
      <c r="F62" s="31" t="n">
        <v>234.8</v>
      </c>
      <c r="G62" s="20" t="n">
        <v>99</v>
      </c>
      <c r="H62" s="19">
        <f>IF(AND(F62&lt;Resumo!$B$8,B62&lt;&gt;"Lançamento",G62&gt;0),"Sim","Não")</f>
        <v/>
      </c>
      <c r="I62" s="28" t="n">
        <v>0</v>
      </c>
      <c r="J62" s="21">
        <f>I62*C62</f>
        <v/>
      </c>
      <c r="K62" s="20">
        <f>D62+I62</f>
        <v/>
      </c>
      <c r="L62" s="21">
        <f>K62*C62</f>
        <v/>
      </c>
      <c r="M62" s="31">
        <f>IF(G62&gt;0,K62/(G62/30),"—")</f>
        <v/>
      </c>
      <c r="N62" s="22" t="inlineStr">
        <is>
          <t>Cobertura acima do teto elegivel - sem compra. Ver secao 12/17 do dossie.</t>
        </is>
      </c>
    </row>
    <row r="63">
      <c r="A63" s="25" t="inlineStr">
        <is>
          <t>FLUCONID 150MG 1CAP EQ VTC</t>
        </is>
      </c>
      <c r="B63" s="25" t="inlineStr">
        <is>
          <t>Crítico</t>
        </is>
      </c>
      <c r="C63" s="26" t="n">
        <v>0.9975000000000001</v>
      </c>
      <c r="D63" s="16" t="n">
        <v>757</v>
      </c>
      <c r="E63" s="17">
        <f>C63*D63</f>
        <v/>
      </c>
      <c r="F63" s="27" t="n">
        <v>354.8</v>
      </c>
      <c r="G63" s="16" t="n">
        <v>64</v>
      </c>
      <c r="H63" s="15">
        <f>IF(AND(F63&lt;Resumo!$B$8,B63&lt;&gt;"Lançamento",G63&gt;0),"Sim","Não")</f>
        <v/>
      </c>
      <c r="I63" s="28" t="n">
        <v>0</v>
      </c>
      <c r="J63" s="17">
        <f>I63*C63</f>
        <v/>
      </c>
      <c r="K63" s="16">
        <f>D63+I63</f>
        <v/>
      </c>
      <c r="L63" s="17">
        <f>K63*C63</f>
        <v/>
      </c>
      <c r="M63" s="27">
        <f>IF(G63&gt;0,K63/(G63/30),"—")</f>
        <v/>
      </c>
      <c r="N63" s="18" t="inlineStr">
        <is>
          <t>Cobertura acima do teto elegivel - sem compra. Ver secao 12/17 do dossie.</t>
        </is>
      </c>
    </row>
    <row r="64">
      <c r="A64" s="29" t="inlineStr">
        <is>
          <t>FORDAY ENERGY 16CPD EFERV VTC</t>
        </is>
      </c>
      <c r="B64" s="29" t="inlineStr">
        <is>
          <t>Crítico</t>
        </is>
      </c>
      <c r="C64" s="30" t="n">
        <v>11.6789</v>
      </c>
      <c r="D64" s="20" t="n">
        <v>611</v>
      </c>
      <c r="E64" s="21">
        <f>C64*D64</f>
        <v/>
      </c>
      <c r="F64" s="31" t="n">
        <v>189</v>
      </c>
      <c r="G64" s="20" t="n">
        <v>97</v>
      </c>
      <c r="H64" s="19">
        <f>IF(AND(F64&lt;Resumo!$B$8,B64&lt;&gt;"Lançamento",G64&gt;0),"Sim","Não")</f>
        <v/>
      </c>
      <c r="I64" s="28" t="n">
        <v>0</v>
      </c>
      <c r="J64" s="21">
        <f>I64*C64</f>
        <v/>
      </c>
      <c r="K64" s="20">
        <f>D64+I64</f>
        <v/>
      </c>
      <c r="L64" s="21">
        <f>K64*C64</f>
        <v/>
      </c>
      <c r="M64" s="31">
        <f>IF(G64&gt;0,K64/(G64/30),"—")</f>
        <v/>
      </c>
      <c r="N64" s="22" t="inlineStr">
        <is>
          <t>Cobertura acima do teto elegivel - sem compra. Ver secao 12/17 do dossie.</t>
        </is>
      </c>
    </row>
    <row r="65">
      <c r="A65" s="25" t="inlineStr">
        <is>
          <t>BIOVARIXON 900+100MG 30CPD VTC</t>
        </is>
      </c>
      <c r="B65" s="25" t="inlineStr">
        <is>
          <t>Crítico</t>
        </is>
      </c>
      <c r="C65" s="26" t="n">
        <v>31.8859</v>
      </c>
      <c r="D65" s="16" t="n">
        <v>430</v>
      </c>
      <c r="E65" s="17">
        <f>C65*D65</f>
        <v/>
      </c>
      <c r="F65" s="27" t="n">
        <v>314.6</v>
      </c>
      <c r="G65" s="16" t="n">
        <v>41</v>
      </c>
      <c r="H65" s="15">
        <f>IF(AND(F65&lt;Resumo!$B$8,B65&lt;&gt;"Lançamento",G65&gt;0),"Sim","Não")</f>
        <v/>
      </c>
      <c r="I65" s="28" t="n">
        <v>0</v>
      </c>
      <c r="J65" s="17">
        <f>I65*C65</f>
        <v/>
      </c>
      <c r="K65" s="16">
        <f>D65+I65</f>
        <v/>
      </c>
      <c r="L65" s="17">
        <f>K65*C65</f>
        <v/>
      </c>
      <c r="M65" s="27">
        <f>IF(G65&gt;0,K65/(G65/30),"—")</f>
        <v/>
      </c>
      <c r="N65" s="18" t="inlineStr">
        <is>
          <t>Cobertura acima do teto elegivel - sem compra. Ver secao 12/17 do dossie.</t>
        </is>
      </c>
    </row>
    <row r="66">
      <c r="A66" s="29" t="inlineStr">
        <is>
          <t>DORALEX 1G 20CPD VTC</t>
        </is>
      </c>
      <c r="B66" s="29" t="inlineStr">
        <is>
          <t>Crítico</t>
        </is>
      </c>
      <c r="C66" s="30" t="n">
        <v>7.8109</v>
      </c>
      <c r="D66" s="20" t="n">
        <v>427</v>
      </c>
      <c r="E66" s="21">
        <f>C66*D66</f>
        <v/>
      </c>
      <c r="F66" s="31" t="n">
        <v>241.7</v>
      </c>
      <c r="G66" s="20" t="n">
        <v>53</v>
      </c>
      <c r="H66" s="19">
        <f>IF(AND(F66&lt;Resumo!$B$8,B66&lt;&gt;"Lançamento",G66&gt;0),"Sim","Não")</f>
        <v/>
      </c>
      <c r="I66" s="28" t="n">
        <v>0</v>
      </c>
      <c r="J66" s="21">
        <f>I66*C66</f>
        <v/>
      </c>
      <c r="K66" s="20">
        <f>D66+I66</f>
        <v/>
      </c>
      <c r="L66" s="21">
        <f>K66*C66</f>
        <v/>
      </c>
      <c r="M66" s="31">
        <f>IF(G66&gt;0,K66/(G66/30),"—")</f>
        <v/>
      </c>
      <c r="N66" s="22" t="inlineStr">
        <is>
          <t>Cobertura acima do teto elegivel - sem compra. Ver secao 12/17 do dossie.</t>
        </is>
      </c>
    </row>
    <row r="67">
      <c r="A67" s="25" t="inlineStr">
        <is>
          <t>ALGY-FLANDERIL 600MG 10CPD VTC</t>
        </is>
      </c>
      <c r="B67" s="25" t="inlineStr">
        <is>
          <t>Crítico</t>
        </is>
      </c>
      <c r="C67" s="26" t="n">
        <v>7.94</v>
      </c>
      <c r="D67" s="16" t="n">
        <v>366</v>
      </c>
      <c r="E67" s="17">
        <f>C67*D67</f>
        <v/>
      </c>
      <c r="F67" s="27" t="n">
        <v>322.9</v>
      </c>
      <c r="G67" s="16" t="n">
        <v>34</v>
      </c>
      <c r="H67" s="15">
        <f>IF(AND(F67&lt;Resumo!$B$8,B67&lt;&gt;"Lançamento",G67&gt;0),"Sim","Não")</f>
        <v/>
      </c>
      <c r="I67" s="28" t="n">
        <v>0</v>
      </c>
      <c r="J67" s="17">
        <f>I67*C67</f>
        <v/>
      </c>
      <c r="K67" s="16">
        <f>D67+I67</f>
        <v/>
      </c>
      <c r="L67" s="17">
        <f>K67*C67</f>
        <v/>
      </c>
      <c r="M67" s="27">
        <f>IF(G67&gt;0,K67/(G67/30),"—")</f>
        <v/>
      </c>
      <c r="N67" s="18" t="inlineStr">
        <is>
          <t>Cobertura acima do teto elegivel - sem compra. Ver secao 12/17 do dossie.</t>
        </is>
      </c>
    </row>
    <row r="68">
      <c r="A68" s="29" t="inlineStr">
        <is>
          <t>IVECTE 6MG 4CPD VTC</t>
        </is>
      </c>
      <c r="B68" s="29" t="inlineStr">
        <is>
          <t>Crítico</t>
        </is>
      </c>
      <c r="C68" s="30" t="n">
        <v>2.29</v>
      </c>
      <c r="D68" s="20" t="n">
        <v>300</v>
      </c>
      <c r="E68" s="21">
        <f>C68*D68</f>
        <v/>
      </c>
      <c r="F68" s="31" t="n">
        <v>264.7</v>
      </c>
      <c r="G68" s="20" t="n">
        <v>34</v>
      </c>
      <c r="H68" s="19">
        <f>IF(AND(F68&lt;Resumo!$B$8,B68&lt;&gt;"Lançamento",G68&gt;0),"Sim","Não")</f>
        <v/>
      </c>
      <c r="I68" s="28" t="n">
        <v>0</v>
      </c>
      <c r="J68" s="21">
        <f>I68*C68</f>
        <v/>
      </c>
      <c r="K68" s="20">
        <f>D68+I68</f>
        <v/>
      </c>
      <c r="L68" s="21">
        <f>K68*C68</f>
        <v/>
      </c>
      <c r="M68" s="31">
        <f>IF(G68&gt;0,K68/(G68/30),"—")</f>
        <v/>
      </c>
      <c r="N68" s="22" t="inlineStr">
        <is>
          <t>Cobertura acima do teto elegivel - sem compra. Ver secao 12/17 do dossie.</t>
        </is>
      </c>
    </row>
    <row r="69">
      <c r="A69" s="25" t="inlineStr">
        <is>
          <t>BIOVARIXON CRM BISN 120ML VTC</t>
        </is>
      </c>
      <c r="B69" s="25" t="inlineStr">
        <is>
          <t>Crítico</t>
        </is>
      </c>
      <c r="C69" s="26" t="n">
        <v>11.9329</v>
      </c>
      <c r="D69" s="16" t="n">
        <v>283</v>
      </c>
      <c r="E69" s="17">
        <f>C69*D69</f>
        <v/>
      </c>
      <c r="F69" s="27" t="n">
        <v>313.3</v>
      </c>
      <c r="G69" s="16" t="n">
        <v>27</v>
      </c>
      <c r="H69" s="15">
        <f>IF(AND(F69&lt;Resumo!$B$8,B69&lt;&gt;"Lançamento",G69&gt;0),"Sim","Não")</f>
        <v/>
      </c>
      <c r="I69" s="28" t="n">
        <v>0</v>
      </c>
      <c r="J69" s="17">
        <f>I69*C69</f>
        <v/>
      </c>
      <c r="K69" s="16">
        <f>D69+I69</f>
        <v/>
      </c>
      <c r="L69" s="17">
        <f>K69*C69</f>
        <v/>
      </c>
      <c r="M69" s="27">
        <f>IF(G69&gt;0,K69/(G69/30),"—")</f>
        <v/>
      </c>
      <c r="N69" s="18" t="inlineStr">
        <is>
          <t>Cobertura acima do teto elegivel - sem compra. Ver secao 12/17 do dossie.</t>
        </is>
      </c>
    </row>
    <row r="70">
      <c r="A70" s="29" t="inlineStr">
        <is>
          <t>BIOVARIXON 900+100MG 60CPD VTC</t>
        </is>
      </c>
      <c r="B70" s="29" t="inlineStr">
        <is>
          <t>Crítico</t>
        </is>
      </c>
      <c r="C70" s="30" t="n">
        <v>63.8145</v>
      </c>
      <c r="D70" s="20" t="n">
        <v>278</v>
      </c>
      <c r="E70" s="21">
        <f>C70*D70</f>
        <v/>
      </c>
      <c r="F70" s="31" t="n">
        <v>308.9</v>
      </c>
      <c r="G70" s="20" t="n">
        <v>27</v>
      </c>
      <c r="H70" s="19">
        <f>IF(AND(F70&lt;Resumo!$B$8,B70&lt;&gt;"Lançamento",G70&gt;0),"Sim","Não")</f>
        <v/>
      </c>
      <c r="I70" s="28" t="n">
        <v>0</v>
      </c>
      <c r="J70" s="21">
        <f>I70*C70</f>
        <v/>
      </c>
      <c r="K70" s="20">
        <f>D70+I70</f>
        <v/>
      </c>
      <c r="L70" s="21">
        <f>K70*C70</f>
        <v/>
      </c>
      <c r="M70" s="31">
        <f>IF(G70&gt;0,K70/(G70/30),"—")</f>
        <v/>
      </c>
      <c r="N70" s="22" t="inlineStr">
        <is>
          <t>Cobertura acima do teto elegivel - sem compra. Ver secao 12/17 do dossie.</t>
        </is>
      </c>
    </row>
    <row r="71">
      <c r="A71" s="25" t="inlineStr">
        <is>
          <t>BERITIN KIDS XPE 240ML VTC</t>
        </is>
      </c>
      <c r="B71" s="25" t="inlineStr">
        <is>
          <t>Crítico</t>
        </is>
      </c>
      <c r="C71" s="26" t="n">
        <v>8.207800000000001</v>
      </c>
      <c r="D71" s="16" t="n">
        <v>244</v>
      </c>
      <c r="E71" s="17">
        <f>C71*D71</f>
        <v/>
      </c>
      <c r="F71" s="27" t="n">
        <v>252.4</v>
      </c>
      <c r="G71" s="16" t="n">
        <v>29</v>
      </c>
      <c r="H71" s="15">
        <f>IF(AND(F71&lt;Resumo!$B$8,B71&lt;&gt;"Lançamento",G71&gt;0),"Sim","Não")</f>
        <v/>
      </c>
      <c r="I71" s="28" t="n">
        <v>0</v>
      </c>
      <c r="J71" s="17">
        <f>I71*C71</f>
        <v/>
      </c>
      <c r="K71" s="16">
        <f>D71+I71</f>
        <v/>
      </c>
      <c r="L71" s="17">
        <f>K71*C71</f>
        <v/>
      </c>
      <c r="M71" s="27">
        <f>IF(G71&gt;0,K71/(G71/30),"—")</f>
        <v/>
      </c>
      <c r="N71" s="18" t="inlineStr">
        <is>
          <t>Cobertura acima do teto elegivel - sem compra. Ver secao 12/17 do dossie.</t>
        </is>
      </c>
    </row>
    <row r="72">
      <c r="A72" s="29" t="inlineStr">
        <is>
          <t>BIOVARIXON 450+50MG 30CPD VTC</t>
        </is>
      </c>
      <c r="B72" s="29" t="inlineStr">
        <is>
          <t>Crítico</t>
        </is>
      </c>
      <c r="C72" s="30" t="n">
        <v>18.6528</v>
      </c>
      <c r="D72" s="20" t="n">
        <v>242</v>
      </c>
      <c r="E72" s="21">
        <f>C72*D72</f>
        <v/>
      </c>
      <c r="F72" s="31" t="n">
        <v>281.4</v>
      </c>
      <c r="G72" s="20" t="n">
        <v>21</v>
      </c>
      <c r="H72" s="19">
        <f>IF(AND(F72&lt;Resumo!$B$8,B72&lt;&gt;"Lançamento",G72&gt;0),"Sim","Não")</f>
        <v/>
      </c>
      <c r="I72" s="28" t="n">
        <v>0</v>
      </c>
      <c r="J72" s="21">
        <f>I72*C72</f>
        <v/>
      </c>
      <c r="K72" s="20">
        <f>D72+I72</f>
        <v/>
      </c>
      <c r="L72" s="21">
        <f>K72*C72</f>
        <v/>
      </c>
      <c r="M72" s="31">
        <f>IF(G72&gt;0,K72/(G72/30),"—")</f>
        <v/>
      </c>
      <c r="N72" s="22" t="inlineStr">
        <is>
          <t>Cobertura acima do teto elegivel - sem compra. Ver secao 12/17 do dossie.</t>
        </is>
      </c>
    </row>
    <row r="73">
      <c r="A73" s="25" t="inlineStr">
        <is>
          <t>ENERGRIP C 1G+1G 30CPD EFEV VTC</t>
        </is>
      </c>
      <c r="B73" s="25" t="inlineStr">
        <is>
          <t>Crítico</t>
        </is>
      </c>
      <c r="C73" s="26" t="n">
        <v>11.1615</v>
      </c>
      <c r="D73" s="16" t="n">
        <v>240</v>
      </c>
      <c r="E73" s="17">
        <f>C73*D73</f>
        <v/>
      </c>
      <c r="F73" s="27" t="n">
        <v>276.9</v>
      </c>
      <c r="G73" s="16" t="n">
        <v>26</v>
      </c>
      <c r="H73" s="15">
        <f>IF(AND(F73&lt;Resumo!$B$8,B73&lt;&gt;"Lançamento",G73&gt;0),"Sim","Não")</f>
        <v/>
      </c>
      <c r="I73" s="28" t="n">
        <v>0</v>
      </c>
      <c r="J73" s="17">
        <f>I73*C73</f>
        <v/>
      </c>
      <c r="K73" s="16">
        <f>D73+I73</f>
        <v/>
      </c>
      <c r="L73" s="17">
        <f>K73*C73</f>
        <v/>
      </c>
      <c r="M73" s="27">
        <f>IF(G73&gt;0,K73/(G73/30),"—")</f>
        <v/>
      </c>
      <c r="N73" s="18" t="inlineStr">
        <is>
          <t>Cobertura acima do teto elegivel - sem compra. Ver secao 12/17 do dossie.</t>
        </is>
      </c>
    </row>
    <row r="74">
      <c r="A74" s="29" t="inlineStr">
        <is>
          <t>IVECTE 6MG 8CPD VTC</t>
        </is>
      </c>
      <c r="B74" s="29" t="inlineStr">
        <is>
          <t>Crítico</t>
        </is>
      </c>
      <c r="C74" s="30" t="n">
        <v>3.01</v>
      </c>
      <c r="D74" s="20" t="n">
        <v>180</v>
      </c>
      <c r="E74" s="21">
        <f>C74*D74</f>
        <v/>
      </c>
      <c r="F74" s="31" t="n">
        <v>270</v>
      </c>
      <c r="G74" s="20" t="n">
        <v>20</v>
      </c>
      <c r="H74" s="19">
        <f>IF(AND(F74&lt;Resumo!$B$8,B74&lt;&gt;"Lançamento",G74&gt;0),"Sim","Não")</f>
        <v/>
      </c>
      <c r="I74" s="28" t="n">
        <v>0</v>
      </c>
      <c r="J74" s="21">
        <f>I74*C74</f>
        <v/>
      </c>
      <c r="K74" s="20">
        <f>D74+I74</f>
        <v/>
      </c>
      <c r="L74" s="21">
        <f>K74*C74</f>
        <v/>
      </c>
      <c r="M74" s="31">
        <f>IF(G74&gt;0,K74/(G74/30),"—")</f>
        <v/>
      </c>
      <c r="N74" s="22" t="inlineStr">
        <is>
          <t>Cobertura acima do teto elegivel - sem compra. Ver secao 12/17 do dossie.</t>
        </is>
      </c>
    </row>
    <row r="75">
      <c r="A75" s="25" t="inlineStr">
        <is>
          <t>ATENOCLOR 100+25MG 30CPD EQ VTC</t>
        </is>
      </c>
      <c r="B75" s="25" t="inlineStr">
        <is>
          <t>Crítico</t>
        </is>
      </c>
      <c r="C75" s="26" t="n">
        <v>7.2883</v>
      </c>
      <c r="D75" s="16" t="n">
        <v>84</v>
      </c>
      <c r="E75" s="17">
        <f>C75*D75</f>
        <v/>
      </c>
      <c r="F75" s="27" t="n">
        <v>180</v>
      </c>
      <c r="G75" s="16" t="n">
        <v>14</v>
      </c>
      <c r="H75" s="15">
        <f>IF(AND(F75&lt;Resumo!$B$8,B75&lt;&gt;"Lançamento",G75&gt;0),"Sim","Não")</f>
        <v/>
      </c>
      <c r="I75" s="28" t="n">
        <v>0</v>
      </c>
      <c r="J75" s="17">
        <f>I75*C75</f>
        <v/>
      </c>
      <c r="K75" s="16">
        <f>D75+I75</f>
        <v/>
      </c>
      <c r="L75" s="17">
        <f>K75*C75</f>
        <v/>
      </c>
      <c r="M75" s="27">
        <f>IF(G75&gt;0,K75/(G75/30),"—")</f>
        <v/>
      </c>
      <c r="N75" s="18" t="inlineStr">
        <is>
          <t>Cobertura acima do teto elegivel - sem compra. Ver secao 12/17 do dossie.</t>
        </is>
      </c>
    </row>
    <row r="76">
      <c r="A76" s="29" t="inlineStr">
        <is>
          <t>VIT PANTENOL SPRAY 30ML VTC</t>
        </is>
      </c>
      <c r="B76" s="29" t="inlineStr">
        <is>
          <t>Crítico</t>
        </is>
      </c>
      <c r="C76" s="30" t="n">
        <v>9.3497</v>
      </c>
      <c r="D76" s="20" t="n">
        <v>78</v>
      </c>
      <c r="E76" s="21">
        <f>C76*D76</f>
        <v/>
      </c>
      <c r="F76" s="31" t="n">
        <v>334.3</v>
      </c>
      <c r="G76" s="20" t="n">
        <v>7</v>
      </c>
      <c r="H76" s="19">
        <f>IF(AND(F76&lt;Resumo!$B$8,B76&lt;&gt;"Lançamento",G76&gt;0),"Sim","Não")</f>
        <v/>
      </c>
      <c r="I76" s="28" t="n">
        <v>0</v>
      </c>
      <c r="J76" s="21">
        <f>I76*C76</f>
        <v/>
      </c>
      <c r="K76" s="20">
        <f>D76+I76</f>
        <v/>
      </c>
      <c r="L76" s="21">
        <f>K76*C76</f>
        <v/>
      </c>
      <c r="M76" s="31">
        <f>IF(G76&gt;0,K76/(G76/30),"—")</f>
        <v/>
      </c>
      <c r="N76" s="22" t="inlineStr">
        <is>
          <t>Cobertura acima do teto elegivel - sem compra. Ver secao 12/17 do dossie.</t>
        </is>
      </c>
    </row>
    <row r="77">
      <c r="A77" s="25" t="inlineStr">
        <is>
          <t>FORDAY Q10 200MG 30CAP VTC</t>
        </is>
      </c>
      <c r="B77" s="25" t="inlineStr">
        <is>
          <t>Crítico</t>
        </is>
      </c>
      <c r="C77" s="26" t="n">
        <v>26.4657</v>
      </c>
      <c r="D77" s="16" t="n">
        <v>75</v>
      </c>
      <c r="E77" s="17">
        <f>C77*D77</f>
        <v/>
      </c>
      <c r="F77" s="27" t="n">
        <v>204.5</v>
      </c>
      <c r="G77" s="16" t="n">
        <v>11</v>
      </c>
      <c r="H77" s="15">
        <f>IF(AND(F77&lt;Resumo!$B$8,B77&lt;&gt;"Lançamento",G77&gt;0),"Sim","Não")</f>
        <v/>
      </c>
      <c r="I77" s="28" t="n">
        <v>0</v>
      </c>
      <c r="J77" s="17">
        <f>I77*C77</f>
        <v/>
      </c>
      <c r="K77" s="16">
        <f>D77+I77</f>
        <v/>
      </c>
      <c r="L77" s="17">
        <f>K77*C77</f>
        <v/>
      </c>
      <c r="M77" s="27">
        <f>IF(G77&gt;0,K77/(G77/30),"—")</f>
        <v/>
      </c>
      <c r="N77" s="18" t="inlineStr">
        <is>
          <t>Cobertura acima do teto elegivel - sem compra. Ver secao 12/17 do dossie.</t>
        </is>
      </c>
    </row>
    <row r="78">
      <c r="A78" s="29" t="inlineStr">
        <is>
          <t>SUAVEBABY MENINA CREME 45G VTC</t>
        </is>
      </c>
      <c r="B78" s="29" t="inlineStr">
        <is>
          <t>Crítico</t>
        </is>
      </c>
      <c r="C78" s="30" t="n">
        <v>6.4358</v>
      </c>
      <c r="D78" s="20" t="n">
        <v>67</v>
      </c>
      <c r="E78" s="21">
        <f>C78*D78</f>
        <v/>
      </c>
      <c r="F78" s="31" t="n">
        <v>201</v>
      </c>
      <c r="G78" s="20" t="n">
        <v>10</v>
      </c>
      <c r="H78" s="19">
        <f>IF(AND(F78&lt;Resumo!$B$8,B78&lt;&gt;"Lançamento",G78&gt;0),"Sim","Não")</f>
        <v/>
      </c>
      <c r="I78" s="28" t="n">
        <v>0</v>
      </c>
      <c r="J78" s="21">
        <f>I78*C78</f>
        <v/>
      </c>
      <c r="K78" s="20">
        <f>D78+I78</f>
        <v/>
      </c>
      <c r="L78" s="21">
        <f>K78*C78</f>
        <v/>
      </c>
      <c r="M78" s="31">
        <f>IF(G78&gt;0,K78/(G78/30),"—")</f>
        <v/>
      </c>
      <c r="N78" s="22" t="inlineStr">
        <is>
          <t>Cobertura acima do teto elegivel - sem compra. Ver secao 12/17 do dossie.</t>
        </is>
      </c>
    </row>
    <row r="79">
      <c r="A79" s="33" t="inlineStr">
        <is>
          <t>ENERGRIP C POP KD LARANJ DISP 500MG VTC</t>
        </is>
      </c>
      <c r="B79" s="33" t="inlineStr">
        <is>
          <t>Lançamento</t>
        </is>
      </c>
      <c r="C79" s="34" t="n">
        <v>37.58</v>
      </c>
      <c r="D79" s="35" t="n">
        <v>528</v>
      </c>
      <c r="E79" s="36">
        <f>C79*D79</f>
        <v/>
      </c>
      <c r="F79" s="37" t="n">
        <v>7920</v>
      </c>
      <c r="G79" s="35" t="n">
        <v>2</v>
      </c>
      <c r="H79" s="38">
        <f>IF(AND(F79&lt;Resumo!$B$8,B79&lt;&gt;"Lançamento",G79&gt;0),"Sim","Não")</f>
        <v/>
      </c>
      <c r="I79" s="28" t="n">
        <v>0</v>
      </c>
      <c r="J79" s="36">
        <f>I79*C79</f>
        <v/>
      </c>
      <c r="K79" s="35">
        <f>D79+I79</f>
        <v/>
      </c>
      <c r="L79" s="36">
        <f>K79*C79</f>
        <v/>
      </c>
      <c r="M79" s="37">
        <f>IF(G79&gt;0,K79/(G79/30),"—")</f>
        <v/>
      </c>
      <c r="N79" s="39" t="inlineStr">
        <is>
          <t>Lancamento sem historico - sem compra nesta proposta. Ver aba Energrip_PopKd.</t>
        </is>
      </c>
    </row>
    <row r="80">
      <c r="A80" s="33" t="inlineStr">
        <is>
          <t>ENERGRIP C POP KD MORANG DISP 250MG VTC</t>
        </is>
      </c>
      <c r="B80" s="33" t="inlineStr">
        <is>
          <t>Lançamento</t>
        </is>
      </c>
      <c r="C80" s="34" t="n">
        <v>37.58</v>
      </c>
      <c r="D80" s="35" t="n">
        <v>213</v>
      </c>
      <c r="E80" s="36">
        <f>C80*D80</f>
        <v/>
      </c>
      <c r="F80" s="37" t="n">
        <v>3195</v>
      </c>
      <c r="G80" s="35" t="n">
        <v>2</v>
      </c>
      <c r="H80" s="38">
        <f>IF(AND(F80&lt;Resumo!$B$8,B80&lt;&gt;"Lançamento",G80&gt;0),"Sim","Não")</f>
        <v/>
      </c>
      <c r="I80" s="28" t="n">
        <v>0</v>
      </c>
      <c r="J80" s="36">
        <f>I80*C80</f>
        <v/>
      </c>
      <c r="K80" s="35">
        <f>D80+I80</f>
        <v/>
      </c>
      <c r="L80" s="36">
        <f>K80*C80</f>
        <v/>
      </c>
      <c r="M80" s="37">
        <f>IF(G80&gt;0,K80/(G80/30),"—")</f>
        <v/>
      </c>
      <c r="N80" s="39" t="inlineStr">
        <is>
          <t>Lancamento sem historico - sem compra nesta proposta. Ver aba Energrip_PopKd.</t>
        </is>
      </c>
    </row>
    <row r="81">
      <c r="A81" s="40" t="inlineStr">
        <is>
          <t>DIPIRONA 1G 10CPD G VTC</t>
        </is>
      </c>
      <c r="B81" s="40" t="inlineStr">
        <is>
          <t>Saudável</t>
        </is>
      </c>
      <c r="C81" s="41" t="n">
        <v>3.3045</v>
      </c>
      <c r="D81" s="42" t="n">
        <v>59</v>
      </c>
      <c r="E81" s="43">
        <f>C81*D81</f>
        <v/>
      </c>
      <c r="F81" s="44" t="n">
        <v>0</v>
      </c>
      <c r="G81" s="42" t="n">
        <v>16819</v>
      </c>
      <c r="H81" s="45">
        <f>IF(AND(F81&lt;Resumo!$B$8,B81&lt;&gt;"Lançamento",G81&gt;0),"Sim","Não")</f>
        <v/>
      </c>
      <c r="I81" s="32" t="n">
        <v>27236</v>
      </c>
      <c r="J81" s="43">
        <f>I81*C81</f>
        <v/>
      </c>
      <c r="K81" s="42">
        <f>D81+I81</f>
        <v/>
      </c>
      <c r="L81" s="43">
        <f>K81*C81</f>
        <v/>
      </c>
      <c r="M81" s="44">
        <f>IF(G81&gt;0,K81/(G81/30),"—")</f>
        <v/>
      </c>
      <c r="N81" s="46" t="inlineStr">
        <is>
          <t>Risco de ruptura - 59 un em estoque p/ ~16.800 un/mes de giro. Prioridade maxima.</t>
        </is>
      </c>
    </row>
    <row r="82">
      <c r="A82" s="29" t="inlineStr">
        <is>
          <t>FEXOFENADINA 6MG/ML 60ML+COP G VTC</t>
        </is>
      </c>
      <c r="B82" s="29" t="inlineStr">
        <is>
          <t>Saudável</t>
        </is>
      </c>
      <c r="C82" s="30" t="n">
        <v>8.7904</v>
      </c>
      <c r="D82" s="20" t="n">
        <v>2981</v>
      </c>
      <c r="E82" s="21">
        <f>C82*D82</f>
        <v/>
      </c>
      <c r="F82" s="31" t="n">
        <v>54.6</v>
      </c>
      <c r="G82" s="20" t="n">
        <v>1639</v>
      </c>
      <c r="H82" s="19">
        <f>IF(AND(F82&lt;Resumo!$B$8,B82&lt;&gt;"Lançamento",G82&gt;0),"Sim","Não")</f>
        <v/>
      </c>
      <c r="I82" s="32" t="n">
        <v>4476</v>
      </c>
      <c r="J82" s="21">
        <f>I82*C82</f>
        <v/>
      </c>
      <c r="K82" s="20">
        <f>D82+I82</f>
        <v/>
      </c>
      <c r="L82" s="21">
        <f>K82*C82</f>
        <v/>
      </c>
      <c r="M82" s="31">
        <f>IF(G82&gt;0,K82/(G82/30),"—")</f>
        <v/>
      </c>
      <c r="N82" s="22" t="inlineStr">
        <is>
          <t>Reposicao de giro - repoe ate perto do DDE-alvo.</t>
        </is>
      </c>
    </row>
    <row r="83">
      <c r="A83" s="25" t="inlineStr">
        <is>
          <t>PREDNISOLONA 3MG/ML SL OR 60ML G VTC</t>
        </is>
      </c>
      <c r="B83" s="25" t="inlineStr">
        <is>
          <t>Saudável</t>
        </is>
      </c>
      <c r="C83" s="26" t="n">
        <v>5.52</v>
      </c>
      <c r="D83" s="16" t="n">
        <v>4135</v>
      </c>
      <c r="E83" s="17">
        <f>C83*D83</f>
        <v/>
      </c>
      <c r="F83" s="27" t="n">
        <v>53.7</v>
      </c>
      <c r="G83" s="16" t="n">
        <v>2309</v>
      </c>
      <c r="H83" s="15">
        <f>IF(AND(F83&lt;Resumo!$B$8,B83&lt;&gt;"Lançamento",G83&gt;0),"Sim","Não")</f>
        <v/>
      </c>
      <c r="I83" s="32" t="n">
        <v>6386</v>
      </c>
      <c r="J83" s="17">
        <f>I83*C83</f>
        <v/>
      </c>
      <c r="K83" s="16">
        <f>D83+I83</f>
        <v/>
      </c>
      <c r="L83" s="17">
        <f>K83*C83</f>
        <v/>
      </c>
      <c r="M83" s="27">
        <f>IF(G83&gt;0,K83/(G83/30),"—")</f>
        <v/>
      </c>
      <c r="N83" s="18" t="inlineStr">
        <is>
          <t>Reposicao de giro - repoe ate perto do DDE-alvo.</t>
        </is>
      </c>
    </row>
    <row r="84">
      <c r="A84" s="29" t="inlineStr">
        <is>
          <t>ENALAPRIL 5MG 30CPD G VTC</t>
        </is>
      </c>
      <c r="B84" s="29" t="inlineStr">
        <is>
          <t>Saudável</t>
        </is>
      </c>
      <c r="C84" s="30" t="n">
        <v>2.31</v>
      </c>
      <c r="D84" s="20" t="n">
        <v>721</v>
      </c>
      <c r="E84" s="21">
        <f>C84*D84</f>
        <v/>
      </c>
      <c r="F84" s="31" t="n">
        <v>10.2</v>
      </c>
      <c r="G84" s="20" t="n">
        <v>2121</v>
      </c>
      <c r="H84" s="19">
        <f>IF(AND(F84&lt;Resumo!$B$8,B84&lt;&gt;"Lançamento",G84&gt;0),"Sim","Não")</f>
        <v/>
      </c>
      <c r="I84" s="32" t="n">
        <v>9720</v>
      </c>
      <c r="J84" s="21">
        <f>I84*C84</f>
        <v/>
      </c>
      <c r="K84" s="20">
        <f>D84+I84</f>
        <v/>
      </c>
      <c r="L84" s="21">
        <f>K84*C84</f>
        <v/>
      </c>
      <c r="M84" s="31">
        <f>IF(G84&gt;0,K84/(G84/30),"—")</f>
        <v/>
      </c>
      <c r="N84" s="22" t="inlineStr">
        <is>
          <t>Reposicao de giro - repoe ate perto do DDE-alvo.</t>
        </is>
      </c>
    </row>
    <row r="85">
      <c r="A85" s="25" t="inlineStr">
        <is>
          <t>DORALEX 1G 10CPD VTC</t>
        </is>
      </c>
      <c r="B85" s="25" t="inlineStr">
        <is>
          <t>Saudável</t>
        </is>
      </c>
      <c r="C85" s="26" t="n">
        <v>3.3623</v>
      </c>
      <c r="D85" s="16" t="n">
        <v>243</v>
      </c>
      <c r="E85" s="17">
        <f>C85*D85</f>
        <v/>
      </c>
      <c r="F85" s="27" t="n">
        <v>4.4</v>
      </c>
      <c r="G85" s="16" t="n">
        <v>1335</v>
      </c>
      <c r="H85" s="15">
        <f>IF(AND(F85&lt;Resumo!$B$8,B85&lt;&gt;"Lançamento",G85&gt;0),"Sim","Não")</f>
        <v/>
      </c>
      <c r="I85" s="32" t="n">
        <v>6439</v>
      </c>
      <c r="J85" s="17">
        <f>I85*C85</f>
        <v/>
      </c>
      <c r="K85" s="16">
        <f>D85+I85</f>
        <v/>
      </c>
      <c r="L85" s="17">
        <f>K85*C85</f>
        <v/>
      </c>
      <c r="M85" s="27">
        <f>IF(G85&gt;0,K85/(G85/30),"—")</f>
        <v/>
      </c>
      <c r="N85" s="18" t="inlineStr">
        <is>
          <t>Reposicao de giro - repoe ate perto do DDE-alvo.</t>
        </is>
      </c>
    </row>
    <row r="86">
      <c r="A86" s="29" t="inlineStr">
        <is>
          <t>CICLOBENZAPRINA 5MG 15CPD G VTC</t>
        </is>
      </c>
      <c r="B86" s="29" t="inlineStr">
        <is>
          <t>Saudável</t>
        </is>
      </c>
      <c r="C86" s="30" t="n">
        <v>2.1702</v>
      </c>
      <c r="D86" s="20" t="n">
        <v>144</v>
      </c>
      <c r="E86" s="21">
        <f>C86*D86</f>
        <v/>
      </c>
      <c r="F86" s="31" t="n">
        <v>2.9</v>
      </c>
      <c r="G86" s="20" t="n">
        <v>1461</v>
      </c>
      <c r="H86" s="19">
        <f>IF(AND(F86&lt;Resumo!$B$8,B86&lt;&gt;"Lançamento",G86&gt;0),"Sim","Não")</f>
        <v/>
      </c>
      <c r="I86" s="32" t="n">
        <v>7143</v>
      </c>
      <c r="J86" s="21">
        <f>I86*C86</f>
        <v/>
      </c>
      <c r="K86" s="20">
        <f>D86+I86</f>
        <v/>
      </c>
      <c r="L86" s="21">
        <f>K86*C86</f>
        <v/>
      </c>
      <c r="M86" s="31">
        <f>IF(G86&gt;0,K86/(G86/30),"—")</f>
        <v/>
      </c>
      <c r="N86" s="22" t="inlineStr">
        <is>
          <t>Reposicao de giro - repoe ate perto do DDE-alvo.</t>
        </is>
      </c>
    </row>
    <row r="87">
      <c r="A87" s="25" t="inlineStr">
        <is>
          <t>IVERMECTINA 6MG 8CPD G VTC</t>
        </is>
      </c>
      <c r="B87" s="25" t="inlineStr">
        <is>
          <t>Saudável</t>
        </is>
      </c>
      <c r="C87" s="26" t="n">
        <v>2.6101</v>
      </c>
      <c r="D87" s="16" t="n">
        <v>857</v>
      </c>
      <c r="E87" s="17">
        <f>C87*D87</f>
        <v/>
      </c>
      <c r="F87" s="27" t="n">
        <v>26</v>
      </c>
      <c r="G87" s="16" t="n">
        <v>987</v>
      </c>
      <c r="H87" s="15">
        <f>IF(AND(F87&lt;Resumo!$B$8,B87&lt;&gt;"Lançamento",G87&gt;0),"Sim","Não")</f>
        <v/>
      </c>
      <c r="I87" s="32" t="n">
        <v>3870</v>
      </c>
      <c r="J87" s="17">
        <f>I87*C87</f>
        <v/>
      </c>
      <c r="K87" s="16">
        <f>D87+I87</f>
        <v/>
      </c>
      <c r="L87" s="17">
        <f>K87*C87</f>
        <v/>
      </c>
      <c r="M87" s="27">
        <f>IF(G87&gt;0,K87/(G87/30),"—")</f>
        <v/>
      </c>
      <c r="N87" s="18" t="inlineStr">
        <is>
          <t>Reposicao de giro - repoe ate perto do DDE-alvo.</t>
        </is>
      </c>
    </row>
    <row r="88">
      <c r="A88" s="29" t="inlineStr">
        <is>
          <t>HEMODASE POM 25G 1APL VTC</t>
        </is>
      </c>
      <c r="B88" s="29" t="inlineStr">
        <is>
          <t>Saudável</t>
        </is>
      </c>
      <c r="C88" s="30" t="n">
        <v>8.3749</v>
      </c>
      <c r="D88" s="20" t="n">
        <v>593</v>
      </c>
      <c r="E88" s="21">
        <f>C88*D88</f>
        <v/>
      </c>
      <c r="F88" s="31" t="n">
        <v>51.1</v>
      </c>
      <c r="G88" s="20" t="n">
        <v>348</v>
      </c>
      <c r="H88" s="19">
        <f>IF(AND(F88&lt;Resumo!$B$8,B88&lt;&gt;"Lançamento",G88&gt;0),"Sim","Não")</f>
        <v/>
      </c>
      <c r="I88" s="32" t="n">
        <v>1000</v>
      </c>
      <c r="J88" s="21">
        <f>I88*C88</f>
        <v/>
      </c>
      <c r="K88" s="20">
        <f>D88+I88</f>
        <v/>
      </c>
      <c r="L88" s="21">
        <f>K88*C88</f>
        <v/>
      </c>
      <c r="M88" s="31">
        <f>IF(G88&gt;0,K88/(G88/30),"—")</f>
        <v/>
      </c>
      <c r="N88" s="22" t="inlineStr">
        <is>
          <t>Reposicao de giro - repoe ate perto do DDE-alvo.</t>
        </is>
      </c>
    </row>
    <row r="89">
      <c r="A89" s="25" t="inlineStr">
        <is>
          <t>FEXOFENADINA 6MG/ML 150ML+COP G VTC</t>
        </is>
      </c>
      <c r="B89" s="25" t="inlineStr">
        <is>
          <t>Saudável</t>
        </is>
      </c>
      <c r="C89" s="26" t="n">
        <v>19.7445</v>
      </c>
      <c r="D89" s="16" t="n">
        <v>175</v>
      </c>
      <c r="E89" s="17">
        <f>C89*D89</f>
        <v/>
      </c>
      <c r="F89" s="27" t="n">
        <v>41</v>
      </c>
      <c r="G89" s="16" t="n">
        <v>128</v>
      </c>
      <c r="H89" s="15">
        <f>IF(AND(F89&lt;Resumo!$B$8,B89&lt;&gt;"Lançamento",G89&gt;0),"Sim","Não")</f>
        <v/>
      </c>
      <c r="I89" s="32" t="n">
        <v>422</v>
      </c>
      <c r="J89" s="17">
        <f>I89*C89</f>
        <v/>
      </c>
      <c r="K89" s="16">
        <f>D89+I89</f>
        <v/>
      </c>
      <c r="L89" s="17">
        <f>K89*C89</f>
        <v/>
      </c>
      <c r="M89" s="27">
        <f>IF(G89&gt;0,K89/(G89/30),"—")</f>
        <v/>
      </c>
      <c r="N89" s="18" t="inlineStr">
        <is>
          <t>Reposicao de giro - repoe ate perto do DDE-alvo.</t>
        </is>
      </c>
    </row>
    <row r="90">
      <c r="A90" s="29" t="inlineStr">
        <is>
          <t>ACECLOFENACO 100MG 12CPD G VTC</t>
        </is>
      </c>
      <c r="B90" s="29" t="inlineStr">
        <is>
          <t>Saudável</t>
        </is>
      </c>
      <c r="C90" s="30" t="n">
        <v>4.6792</v>
      </c>
      <c r="D90" s="20" t="n">
        <v>668</v>
      </c>
      <c r="E90" s="21">
        <f>C90*D90</f>
        <v/>
      </c>
      <c r="F90" s="31" t="n">
        <v>40.8</v>
      </c>
      <c r="G90" s="20" t="n">
        <v>491</v>
      </c>
      <c r="H90" s="19">
        <f>IF(AND(F90&lt;Resumo!$B$8,B90&lt;&gt;"Lançamento",G90&gt;0),"Sim","Não")</f>
        <v/>
      </c>
      <c r="I90" s="32" t="n">
        <v>1623</v>
      </c>
      <c r="J90" s="21">
        <f>I90*C90</f>
        <v/>
      </c>
      <c r="K90" s="20">
        <f>D90+I90</f>
        <v/>
      </c>
      <c r="L90" s="21">
        <f>K90*C90</f>
        <v/>
      </c>
      <c r="M90" s="31">
        <f>IF(G90&gt;0,K90/(G90/30),"—")</f>
        <v/>
      </c>
      <c r="N90" s="22" t="inlineStr">
        <is>
          <t>Reposicao de giro - repoe ate perto do DDE-alvo.</t>
        </is>
      </c>
    </row>
    <row r="91">
      <c r="A91" s="25" t="inlineStr">
        <is>
          <t>MUCOVIT NAC 16CPD EFERV VTC</t>
        </is>
      </c>
      <c r="B91" s="25" t="inlineStr">
        <is>
          <t>Saudável</t>
        </is>
      </c>
      <c r="C91" s="26" t="n">
        <v>11.8889</v>
      </c>
      <c r="D91" s="16" t="n">
        <v>200</v>
      </c>
      <c r="E91" s="17">
        <f>C91*D91</f>
        <v/>
      </c>
      <c r="F91" s="27" t="n">
        <v>36.6</v>
      </c>
      <c r="G91" s="16" t="n">
        <v>164</v>
      </c>
      <c r="H91" s="15">
        <f>IF(AND(F91&lt;Resumo!$B$8,B91&lt;&gt;"Lançamento",G91&gt;0),"Sim","Não")</f>
        <v/>
      </c>
      <c r="I91" s="32" t="n">
        <v>571</v>
      </c>
      <c r="J91" s="17">
        <f>I91*C91</f>
        <v/>
      </c>
      <c r="K91" s="16">
        <f>D91+I91</f>
        <v/>
      </c>
      <c r="L91" s="17">
        <f>K91*C91</f>
        <v/>
      </c>
      <c r="M91" s="27">
        <f>IF(G91&gt;0,K91/(G91/30),"—")</f>
        <v/>
      </c>
      <c r="N91" s="18" t="inlineStr">
        <is>
          <t>Reposicao de giro - repoe ate perto do DDE-alvo.</t>
        </is>
      </c>
    </row>
    <row r="92">
      <c r="A92" s="29" t="inlineStr">
        <is>
          <t>FLUNARIZINA 10MG 50CPD G VTC</t>
        </is>
      </c>
      <c r="B92" s="29" t="inlineStr">
        <is>
          <t>Saudável</t>
        </is>
      </c>
      <c r="C92" s="30" t="n">
        <v>6.23</v>
      </c>
      <c r="D92" s="20" t="n">
        <v>457</v>
      </c>
      <c r="E92" s="21">
        <f>C92*D92</f>
        <v/>
      </c>
      <c r="F92" s="31" t="n">
        <v>50.8</v>
      </c>
      <c r="G92" s="20" t="n">
        <v>270</v>
      </c>
      <c r="H92" s="19">
        <f>IF(AND(F92&lt;Resumo!$B$8,B92&lt;&gt;"Lançamento",G92&gt;0),"Sim","Não")</f>
        <v/>
      </c>
      <c r="I92" s="32" t="n">
        <v>780</v>
      </c>
      <c r="J92" s="21">
        <f>I92*C92</f>
        <v/>
      </c>
      <c r="K92" s="20">
        <f>D92+I92</f>
        <v/>
      </c>
      <c r="L92" s="21">
        <f>K92*C92</f>
        <v/>
      </c>
      <c r="M92" s="31">
        <f>IF(G92&gt;0,K92/(G92/30),"—")</f>
        <v/>
      </c>
      <c r="N92" s="22" t="inlineStr">
        <is>
          <t>Reposicao de giro - repoe ate perto do DDE-alvo.</t>
        </is>
      </c>
    </row>
    <row r="93">
      <c r="A93" s="25" t="inlineStr">
        <is>
          <t>CICLOBENZAPRINA 10MG 30CPD G VTC</t>
        </is>
      </c>
      <c r="B93" s="25" t="inlineStr">
        <is>
          <t>Saudável</t>
        </is>
      </c>
      <c r="C93" s="26" t="n">
        <v>4.74</v>
      </c>
      <c r="D93" s="16" t="n">
        <v>47</v>
      </c>
      <c r="E93" s="17">
        <f>C93*D93</f>
        <v/>
      </c>
      <c r="F93" s="27" t="n">
        <v>9.699999999999999</v>
      </c>
      <c r="G93" s="16" t="n">
        <v>145</v>
      </c>
      <c r="H93" s="15">
        <f>IF(AND(F93&lt;Resumo!$B$8,B93&lt;&gt;"Lançamento",G93&gt;0),"Sim","Não")</f>
        <v/>
      </c>
      <c r="I93" s="32" t="n">
        <v>667</v>
      </c>
      <c r="J93" s="17">
        <f>I93*C93</f>
        <v/>
      </c>
      <c r="K93" s="16">
        <f>D93+I93</f>
        <v/>
      </c>
      <c r="L93" s="17">
        <f>K93*C93</f>
        <v/>
      </c>
      <c r="M93" s="27">
        <f>IF(G93&gt;0,K93/(G93/30),"—")</f>
        <v/>
      </c>
      <c r="N93" s="18" t="inlineStr">
        <is>
          <t>Reposicao de giro - repoe ate perto do DDE-alvo.</t>
        </is>
      </c>
    </row>
    <row r="94">
      <c r="A94" s="29" t="inlineStr">
        <is>
          <t>PARACETAMOL 200MG/ML GTS 15ML VTC</t>
        </is>
      </c>
      <c r="B94" s="29" t="inlineStr">
        <is>
          <t>Saudável</t>
        </is>
      </c>
      <c r="C94" s="30" t="n">
        <v>2.4701</v>
      </c>
      <c r="D94" s="20" t="n">
        <v>94</v>
      </c>
      <c r="E94" s="21">
        <f>C94*D94</f>
        <v/>
      </c>
      <c r="F94" s="31" t="n">
        <v>10.8</v>
      </c>
      <c r="G94" s="20" t="n">
        <v>252</v>
      </c>
      <c r="H94" s="19">
        <f>IF(AND(F94&lt;Resumo!$B$8,B94&lt;&gt;"Lançamento",G94&gt;0),"Sim","Não")</f>
        <v/>
      </c>
      <c r="I94" s="32" t="n">
        <v>1148</v>
      </c>
      <c r="J94" s="21">
        <f>I94*C94</f>
        <v/>
      </c>
      <c r="K94" s="20">
        <f>D94+I94</f>
        <v/>
      </c>
      <c r="L94" s="21">
        <f>K94*C94</f>
        <v/>
      </c>
      <c r="M94" s="31">
        <f>IF(G94&gt;0,K94/(G94/30),"—")</f>
        <v/>
      </c>
      <c r="N94" s="22" t="inlineStr">
        <is>
          <t>Reposicao de giro - repoe ate perto do DDE-alvo.</t>
        </is>
      </c>
    </row>
    <row r="95">
      <c r="A95" s="25" t="inlineStr">
        <is>
          <t>SULF+TRIMETO 40+8MG/ML 100ML (AM) G VTC</t>
        </is>
      </c>
      <c r="B95" s="25" t="inlineStr">
        <is>
          <t>Saudável</t>
        </is>
      </c>
      <c r="C95" s="26" t="n">
        <v>5.1679</v>
      </c>
      <c r="D95" s="16" t="n">
        <v>52</v>
      </c>
      <c r="E95" s="17">
        <f>C95*D95</f>
        <v/>
      </c>
      <c r="F95" s="27" t="n">
        <v>17</v>
      </c>
      <c r="G95" s="16" t="n">
        <v>92</v>
      </c>
      <c r="H95" s="15">
        <f>IF(AND(F95&lt;Resumo!$B$8,B95&lt;&gt;"Lançamento",G95&gt;0),"Sim","Não")</f>
        <v/>
      </c>
      <c r="I95" s="32" t="n">
        <v>396</v>
      </c>
      <c r="J95" s="17">
        <f>I95*C95</f>
        <v/>
      </c>
      <c r="K95" s="16">
        <f>D95+I95</f>
        <v/>
      </c>
      <c r="L95" s="17">
        <f>K95*C95</f>
        <v/>
      </c>
      <c r="M95" s="27">
        <f>IF(G95&gt;0,K95/(G95/30),"—")</f>
        <v/>
      </c>
      <c r="N95" s="18" t="inlineStr">
        <is>
          <t>Reposicao de giro - repoe ate perto do DDE-alvo.</t>
        </is>
      </c>
    </row>
    <row r="96">
      <c r="A96" s="29" t="inlineStr">
        <is>
          <t>RISPERIDONA 3MG 30CPD (C1) G VTC</t>
        </is>
      </c>
      <c r="B96" s="29" t="inlineStr">
        <is>
          <t>Saudável</t>
        </is>
      </c>
      <c r="C96" s="30" t="n">
        <v>7.33</v>
      </c>
      <c r="D96" s="20" t="n">
        <v>108</v>
      </c>
      <c r="E96" s="21">
        <f>C96*D96</f>
        <v/>
      </c>
      <c r="F96" s="31" t="n">
        <v>40</v>
      </c>
      <c r="G96" s="20" t="n">
        <v>81</v>
      </c>
      <c r="H96" s="19">
        <f>IF(AND(F96&lt;Resumo!$B$8,B96&lt;&gt;"Lançamento",G96&gt;0),"Sim","Não")</f>
        <v/>
      </c>
      <c r="I96" s="32" t="n">
        <v>270</v>
      </c>
      <c r="J96" s="21">
        <f>I96*C96</f>
        <v/>
      </c>
      <c r="K96" s="20">
        <f>D96+I96</f>
        <v/>
      </c>
      <c r="L96" s="21">
        <f>K96*C96</f>
        <v/>
      </c>
      <c r="M96" s="31">
        <f>IF(G96&gt;0,K96/(G96/30),"—")</f>
        <v/>
      </c>
      <c r="N96" s="22" t="inlineStr">
        <is>
          <t>Reposicao de giro - repoe ate perto do DDE-alvo.</t>
        </is>
      </c>
    </row>
    <row r="97">
      <c r="A97" s="25" t="inlineStr">
        <is>
          <t>PARACETAMOL 100MG/ML SUSP ORAL 15ML VTC</t>
        </is>
      </c>
      <c r="B97" s="25" t="inlineStr">
        <is>
          <t>Saudável</t>
        </is>
      </c>
      <c r="C97" s="26" t="n">
        <v>4.39</v>
      </c>
      <c r="D97" s="16" t="n">
        <v>214</v>
      </c>
      <c r="E97" s="17">
        <f>C97*D97</f>
        <v/>
      </c>
      <c r="F97" s="27" t="n">
        <v>44.9</v>
      </c>
      <c r="G97" s="16" t="n">
        <v>143</v>
      </c>
      <c r="H97" s="15">
        <f>IF(AND(F97&lt;Resumo!$B$8,B97&lt;&gt;"Lançamento",G97&gt;0),"Sim","Não")</f>
        <v/>
      </c>
      <c r="I97" s="32" t="n">
        <v>448</v>
      </c>
      <c r="J97" s="17">
        <f>I97*C97</f>
        <v/>
      </c>
      <c r="K97" s="16">
        <f>D97+I97</f>
        <v/>
      </c>
      <c r="L97" s="17">
        <f>K97*C97</f>
        <v/>
      </c>
      <c r="M97" s="27">
        <f>IF(G97&gt;0,K97/(G97/30),"—")</f>
        <v/>
      </c>
      <c r="N97" s="18" t="inlineStr">
        <is>
          <t>Reposicao de giro - repoe ate perto do DDE-alvo.</t>
        </is>
      </c>
    </row>
    <row r="98">
      <c r="A98" s="29" t="inlineStr">
        <is>
          <t>PARACETAMOL 140MG/ML GTS 15ML VTC</t>
        </is>
      </c>
      <c r="B98" s="29" t="inlineStr">
        <is>
          <t>Saudável</t>
        </is>
      </c>
      <c r="C98" s="30" t="n">
        <v>7.7756</v>
      </c>
      <c r="D98" s="20" t="n">
        <v>98</v>
      </c>
      <c r="E98" s="21">
        <f>C98*D98</f>
        <v/>
      </c>
      <c r="F98" s="31" t="n">
        <v>23.3</v>
      </c>
      <c r="G98" s="20" t="n">
        <v>49</v>
      </c>
      <c r="H98" s="19">
        <f>IF(AND(F98&lt;Resumo!$B$8,B98&lt;&gt;"Lançamento",G98&gt;0),"Sim","Não")</f>
        <v/>
      </c>
      <c r="I98" s="32" t="n">
        <v>198</v>
      </c>
      <c r="J98" s="21">
        <f>I98*C98</f>
        <v/>
      </c>
      <c r="K98" s="20">
        <f>D98+I98</f>
        <v/>
      </c>
      <c r="L98" s="21">
        <f>K98*C98</f>
        <v/>
      </c>
      <c r="M98" s="31">
        <f>IF(G98&gt;0,K98/(G98/30),"—")</f>
        <v/>
      </c>
      <c r="N98" s="22" t="inlineStr">
        <is>
          <t>Reposicao de giro - repoe ate perto do DDE-alvo.</t>
        </is>
      </c>
    </row>
    <row r="99">
      <c r="A99" s="25" t="inlineStr">
        <is>
          <t>CETOCONAZOL 20MG/G CRM 30G VTC</t>
        </is>
      </c>
      <c r="B99" s="25" t="inlineStr">
        <is>
          <t>Saudável</t>
        </is>
      </c>
      <c r="C99" s="26" t="n">
        <v>6.5022</v>
      </c>
      <c r="D99" s="16" t="n">
        <v>25</v>
      </c>
      <c r="E99" s="17">
        <f>C99*D99</f>
        <v/>
      </c>
      <c r="F99" s="27" t="n">
        <v>37.5</v>
      </c>
      <c r="G99" s="16" t="n">
        <v>20</v>
      </c>
      <c r="H99" s="15">
        <f>IF(AND(F99&lt;Resumo!$B$8,B99&lt;&gt;"Lançamento",G99&gt;0),"Sim","Não")</f>
        <v/>
      </c>
      <c r="I99" s="32" t="n">
        <v>69</v>
      </c>
      <c r="J99" s="17">
        <f>I99*C99</f>
        <v/>
      </c>
      <c r="K99" s="16">
        <f>D99+I99</f>
        <v/>
      </c>
      <c r="L99" s="17">
        <f>K99*C99</f>
        <v/>
      </c>
      <c r="M99" s="27">
        <f>IF(G99&gt;0,K99/(G99/30),"—")</f>
        <v/>
      </c>
      <c r="N99" s="18" t="inlineStr">
        <is>
          <t>Reposicao de giro - repoe ate perto do DDE-alvo.</t>
        </is>
      </c>
    </row>
    <row r="100">
      <c r="A100" s="29" t="inlineStr">
        <is>
          <t>ATENOLOL+CLORTAL 50+12,5MG 30CPD G VTC</t>
        </is>
      </c>
      <c r="B100" s="29" t="inlineStr">
        <is>
          <t>Saudável</t>
        </is>
      </c>
      <c r="C100" s="30" t="n">
        <v>4.43</v>
      </c>
      <c r="D100" s="20" t="n">
        <v>95</v>
      </c>
      <c r="E100" s="21">
        <f>C100*D100</f>
        <v/>
      </c>
      <c r="F100" s="31" t="n">
        <v>56.4</v>
      </c>
      <c r="G100" s="20" t="n">
        <v>33</v>
      </c>
      <c r="H100" s="19">
        <f>IF(AND(F100&lt;Resumo!$B$8,B100&lt;&gt;"Lançamento",G100&gt;0),"Sim","Não")</f>
        <v/>
      </c>
      <c r="I100" s="32" t="n">
        <v>88</v>
      </c>
      <c r="J100" s="21">
        <f>I100*C100</f>
        <v/>
      </c>
      <c r="K100" s="20">
        <f>D100+I100</f>
        <v/>
      </c>
      <c r="L100" s="21">
        <f>K100*C100</f>
        <v/>
      </c>
      <c r="M100" s="31">
        <f>IF(G100&gt;0,K100/(G100/30),"—")</f>
        <v/>
      </c>
      <c r="N100" s="22" t="inlineStr">
        <is>
          <t>Reposicao de giro - repoe ate perto do DDE-alvo.</t>
        </is>
      </c>
    </row>
    <row r="101">
      <c r="A101" s="25" t="inlineStr">
        <is>
          <t>ATENOCLOR 50+12,5MG 30CPD EQ VTC</t>
        </is>
      </c>
      <c r="B101" s="25" t="inlineStr">
        <is>
          <t>Saudável</t>
        </is>
      </c>
      <c r="C101" s="26" t="n">
        <v>4.79</v>
      </c>
      <c r="D101" s="16" t="n">
        <v>31</v>
      </c>
      <c r="E101" s="17">
        <f>C101*D101</f>
        <v/>
      </c>
      <c r="F101" s="27" t="n">
        <v>40.4</v>
      </c>
      <c r="G101" s="16" t="n">
        <v>23</v>
      </c>
      <c r="H101" s="15">
        <f>IF(AND(F101&lt;Resumo!$B$8,B101&lt;&gt;"Lançamento",G101&gt;0),"Sim","Não")</f>
        <v/>
      </c>
      <c r="I101" s="32" t="n">
        <v>76</v>
      </c>
      <c r="J101" s="17">
        <f>I101*C101</f>
        <v/>
      </c>
      <c r="K101" s="16">
        <f>D101+I101</f>
        <v/>
      </c>
      <c r="L101" s="17">
        <f>K101*C101</f>
        <v/>
      </c>
      <c r="M101" s="27">
        <f>IF(G101&gt;0,K101/(G101/30),"—")</f>
        <v/>
      </c>
      <c r="N101" s="18" t="inlineStr">
        <is>
          <t>Reposicao de giro - repoe ate perto do DDE-alvo.</t>
        </is>
      </c>
    </row>
    <row r="102">
      <c r="A102" s="29" t="inlineStr">
        <is>
          <t>FLUCONAZOL 150MG 1CAP G VTC</t>
        </is>
      </c>
      <c r="B102" s="29" t="inlineStr">
        <is>
          <t>Saudável</t>
        </is>
      </c>
      <c r="C102" s="30" t="n">
        <v>0.9792</v>
      </c>
      <c r="D102" s="20" t="n">
        <v>2612</v>
      </c>
      <c r="E102" s="21">
        <f>C102*D102</f>
        <v/>
      </c>
      <c r="F102" s="31" t="n">
        <v>-2901.1</v>
      </c>
      <c r="G102" s="20" t="n">
        <v>-27</v>
      </c>
      <c r="H102" s="19">
        <f>IF(AND(F102&lt;Resumo!$B$8,B102&lt;&gt;"Lançamento",G102&gt;0),"Sim","Não")</f>
        <v/>
      </c>
      <c r="I102" s="28" t="n">
        <v>0</v>
      </c>
      <c r="J102" s="21">
        <f>I102*C102</f>
        <v/>
      </c>
      <c r="K102" s="20">
        <f>D102+I102</f>
        <v/>
      </c>
      <c r="L102" s="21">
        <f>K102*C102</f>
        <v/>
      </c>
      <c r="M102" s="31">
        <f>IF(G102&gt;0,K102/(G102/30),"—")</f>
        <v/>
      </c>
      <c r="N102" s="22" t="inlineStr">
        <is>
          <t>Ja proximo ou acima do DDE-alvo - sem compra necessaria.</t>
        </is>
      </c>
    </row>
    <row r="103">
      <c r="A103" s="25" t="inlineStr">
        <is>
          <t>DORALEX 500MG 30CPD VTC</t>
        </is>
      </c>
      <c r="B103" s="25" t="inlineStr">
        <is>
          <t>Saudável</t>
        </is>
      </c>
      <c r="C103" s="26" t="n">
        <v>5.4365</v>
      </c>
      <c r="D103" s="16" t="n">
        <v>175</v>
      </c>
      <c r="E103" s="17">
        <f>C103*D103</f>
        <v/>
      </c>
      <c r="F103" s="27" t="n">
        <v>-5250</v>
      </c>
      <c r="G103" s="16" t="n">
        <v>-1</v>
      </c>
      <c r="H103" s="15">
        <f>IF(AND(F103&lt;Resumo!$B$8,B103&lt;&gt;"Lançamento",G103&gt;0),"Sim","Não")</f>
        <v/>
      </c>
      <c r="I103" s="28" t="n">
        <v>0</v>
      </c>
      <c r="J103" s="17">
        <f>I103*C103</f>
        <v/>
      </c>
      <c r="K103" s="16">
        <f>D103+I103</f>
        <v/>
      </c>
      <c r="L103" s="17">
        <f>K103*C103</f>
        <v/>
      </c>
      <c r="M103" s="27">
        <f>IF(G103&gt;0,K103/(G103/30),"—")</f>
        <v/>
      </c>
      <c r="N103" s="18" t="inlineStr">
        <is>
          <t>Ja proximo ou acima do DDE-alvo - sem compra necessaria.</t>
        </is>
      </c>
    </row>
    <row r="104">
      <c r="A104" s="29" t="inlineStr">
        <is>
          <t>PARACETAMOL 750MG 20CPD VTC</t>
        </is>
      </c>
      <c r="B104" s="29" t="inlineStr">
        <is>
          <t>Zumbi</t>
        </is>
      </c>
      <c r="C104" s="30" t="n">
        <v>2.8484</v>
      </c>
      <c r="D104" s="20" t="n">
        <v>7182</v>
      </c>
      <c r="E104" s="21">
        <f>C104*D104</f>
        <v/>
      </c>
      <c r="F104" s="31" t="n">
        <v>891.2</v>
      </c>
      <c r="G104" s="20" t="n">
        <v>241</v>
      </c>
      <c r="H104" s="19">
        <f>IF(AND(F104&lt;Resumo!$B$8,B104&lt;&gt;"Lançamento",G104&gt;0),"Sim","Não")</f>
        <v/>
      </c>
      <c r="I104" s="28" t="n">
        <v>0</v>
      </c>
      <c r="J104" s="21">
        <f>I104*C104</f>
        <v/>
      </c>
      <c r="K104" s="20">
        <f>D104+I104</f>
        <v/>
      </c>
      <c r="L104" s="21">
        <f>K104*C104</f>
        <v/>
      </c>
      <c r="M104" s="31">
        <f>IF(G104&gt;0,K104/(G104/30),"—")</f>
        <v/>
      </c>
      <c r="N104" s="22" t="inlineStr">
        <is>
          <t>Cobertura acima do teto elegivel - sem compra. Ver secao 12/17 do dossie.</t>
        </is>
      </c>
    </row>
    <row r="105">
      <c r="A105" s="25" t="inlineStr">
        <is>
          <t>ATENOLOL 50MG 30CPD G VTC</t>
        </is>
      </c>
      <c r="B105" s="25" t="inlineStr">
        <is>
          <t>Zumbi</t>
        </is>
      </c>
      <c r="C105" s="26" t="n">
        <v>1.7884</v>
      </c>
      <c r="D105" s="16" t="n">
        <v>3923</v>
      </c>
      <c r="E105" s="17">
        <f>C105*D105</f>
        <v/>
      </c>
      <c r="F105" s="27" t="n">
        <v>380.9</v>
      </c>
      <c r="G105" s="16" t="n">
        <v>309</v>
      </c>
      <c r="H105" s="15">
        <f>IF(AND(F105&lt;Resumo!$B$8,B105&lt;&gt;"Lançamento",G105&gt;0),"Sim","Não")</f>
        <v/>
      </c>
      <c r="I105" s="28" t="n">
        <v>0</v>
      </c>
      <c r="J105" s="17">
        <f>I105*C105</f>
        <v/>
      </c>
      <c r="K105" s="16">
        <f>D105+I105</f>
        <v/>
      </c>
      <c r="L105" s="17">
        <f>K105*C105</f>
        <v/>
      </c>
      <c r="M105" s="27">
        <f>IF(G105&gt;0,K105/(G105/30),"—")</f>
        <v/>
      </c>
      <c r="N105" s="18" t="inlineStr">
        <is>
          <t>Cobertura acima do teto elegivel - sem compra. Ver secao 12/17 do dossie.</t>
        </is>
      </c>
    </row>
    <row r="106">
      <c r="A106" s="29" t="inlineStr">
        <is>
          <t>ALGY GOTAS 100MG/ML SUSP ORAL 20ML VTC</t>
        </is>
      </c>
      <c r="B106" s="29" t="inlineStr">
        <is>
          <t>Zumbi</t>
        </is>
      </c>
      <c r="C106" s="30" t="n">
        <v>2.5192</v>
      </c>
      <c r="D106" s="20" t="n">
        <v>1270</v>
      </c>
      <c r="E106" s="21">
        <f>C106*D106</f>
        <v/>
      </c>
      <c r="F106" s="31" t="n">
        <v>684.5</v>
      </c>
      <c r="G106" s="20" t="n">
        <v>55</v>
      </c>
      <c r="H106" s="19">
        <f>IF(AND(F106&lt;Resumo!$B$8,B106&lt;&gt;"Lançamento",G106&gt;0),"Sim","Não")</f>
        <v/>
      </c>
      <c r="I106" s="28" t="n">
        <v>0</v>
      </c>
      <c r="J106" s="21">
        <f>I106*C106</f>
        <v/>
      </c>
      <c r="K106" s="20">
        <f>D106+I106</f>
        <v/>
      </c>
      <c r="L106" s="21">
        <f>K106*C106</f>
        <v/>
      </c>
      <c r="M106" s="31">
        <f>IF(G106&gt;0,K106/(G106/30),"—")</f>
        <v/>
      </c>
      <c r="N106" s="22" t="inlineStr">
        <is>
          <t>Cobertura acima do teto elegivel - sem compra. Ver secao 12/17 do dossie.</t>
        </is>
      </c>
    </row>
    <row r="107">
      <c r="A107" s="25" t="inlineStr">
        <is>
          <t>AMLODIL 5MG 30CPD VTC</t>
        </is>
      </c>
      <c r="B107" s="25" t="inlineStr">
        <is>
          <t>Zumbi</t>
        </is>
      </c>
      <c r="C107" s="26" t="n">
        <v>1.4879</v>
      </c>
      <c r="D107" s="16" t="n">
        <v>607</v>
      </c>
      <c r="E107" s="17">
        <f>C107*D107</f>
        <v/>
      </c>
      <c r="F107" s="27" t="n">
        <v>4552.5</v>
      </c>
      <c r="G107" s="16" t="n">
        <v>4</v>
      </c>
      <c r="H107" s="15">
        <f>IF(AND(F107&lt;Resumo!$B$8,B107&lt;&gt;"Lançamento",G107&gt;0),"Sim","Não")</f>
        <v/>
      </c>
      <c r="I107" s="28" t="n">
        <v>0</v>
      </c>
      <c r="J107" s="17">
        <f>I107*C107</f>
        <v/>
      </c>
      <c r="K107" s="16">
        <f>D107+I107</f>
        <v/>
      </c>
      <c r="L107" s="17">
        <f>K107*C107</f>
        <v/>
      </c>
      <c r="M107" s="27">
        <f>IF(G107&gt;0,K107/(G107/30),"—")</f>
        <v/>
      </c>
      <c r="N107" s="18" t="inlineStr">
        <is>
          <t>Cobertura acima do teto elegivel - sem compra. Ver secao 12/17 do dossie.</t>
        </is>
      </c>
    </row>
    <row r="108">
      <c r="A108" s="29" t="inlineStr">
        <is>
          <t>NIMELIT 50MG/ML SUSP OR 15ML VTC</t>
        </is>
      </c>
      <c r="B108" s="29" t="inlineStr">
        <is>
          <t>Zumbi</t>
        </is>
      </c>
      <c r="C108" s="30" t="n">
        <v>1.7735</v>
      </c>
      <c r="D108" s="20" t="n">
        <v>593</v>
      </c>
      <c r="E108" s="21">
        <f>C108*D108</f>
        <v/>
      </c>
      <c r="F108" s="31" t="n">
        <v>808.6</v>
      </c>
      <c r="G108" s="20" t="n">
        <v>22</v>
      </c>
      <c r="H108" s="19">
        <f>IF(AND(F108&lt;Resumo!$B$8,B108&lt;&gt;"Lançamento",G108&gt;0),"Sim","Não")</f>
        <v/>
      </c>
      <c r="I108" s="28" t="n">
        <v>0</v>
      </c>
      <c r="J108" s="21">
        <f>I108*C108</f>
        <v/>
      </c>
      <c r="K108" s="20">
        <f>D108+I108</f>
        <v/>
      </c>
      <c r="L108" s="21">
        <f>K108*C108</f>
        <v/>
      </c>
      <c r="M108" s="31">
        <f>IF(G108&gt;0,K108/(G108/30),"—")</f>
        <v/>
      </c>
      <c r="N108" s="22" t="inlineStr">
        <is>
          <t>Cobertura acima do teto elegivel - sem compra. Ver secao 12/17 do dossie.</t>
        </is>
      </c>
    </row>
    <row r="109">
      <c r="A109" s="25" t="inlineStr">
        <is>
          <t>FORDAY MAGNESIO PLUS 60CAP VTC</t>
        </is>
      </c>
      <c r="B109" s="25" t="inlineStr">
        <is>
          <t>Zumbi</t>
        </is>
      </c>
      <c r="C109" s="26" t="n">
        <v>17.8698</v>
      </c>
      <c r="D109" s="16" t="n">
        <v>514</v>
      </c>
      <c r="E109" s="17">
        <f>C109*D109</f>
        <v/>
      </c>
      <c r="F109" s="27" t="n">
        <v>1401.8</v>
      </c>
      <c r="G109" s="16" t="n">
        <v>11</v>
      </c>
      <c r="H109" s="15">
        <f>IF(AND(F109&lt;Resumo!$B$8,B109&lt;&gt;"Lançamento",G109&gt;0),"Sim","Não")</f>
        <v/>
      </c>
      <c r="I109" s="28" t="n">
        <v>0</v>
      </c>
      <c r="J109" s="17">
        <f>I109*C109</f>
        <v/>
      </c>
      <c r="K109" s="16">
        <f>D109+I109</f>
        <v/>
      </c>
      <c r="L109" s="17">
        <f>K109*C109</f>
        <v/>
      </c>
      <c r="M109" s="27">
        <f>IF(G109&gt;0,K109/(G109/30),"—")</f>
        <v/>
      </c>
      <c r="N109" s="18" t="inlineStr">
        <is>
          <t>Cobertura acima do teto elegivel - sem compra. Ver secao 12/17 do dossie.</t>
        </is>
      </c>
    </row>
    <row r="110">
      <c r="A110" s="29" t="inlineStr">
        <is>
          <t>FORDAY CABELOS UNHAS 60CAP VTC</t>
        </is>
      </c>
      <c r="B110" s="29" t="inlineStr">
        <is>
          <t>Zumbi</t>
        </is>
      </c>
      <c r="C110" s="30" t="n">
        <v>11.5801</v>
      </c>
      <c r="D110" s="20" t="n">
        <v>472</v>
      </c>
      <c r="E110" s="21">
        <f>C110*D110</f>
        <v/>
      </c>
      <c r="F110" s="31" t="n">
        <v>785</v>
      </c>
      <c r="G110" s="20" t="n">
        <v>18</v>
      </c>
      <c r="H110" s="19">
        <f>IF(AND(F110&lt;Resumo!$B$8,B110&lt;&gt;"Lançamento",G110&gt;0),"Sim","Não")</f>
        <v/>
      </c>
      <c r="I110" s="28" t="n">
        <v>0</v>
      </c>
      <c r="J110" s="21">
        <f>I110*C110</f>
        <v/>
      </c>
      <c r="K110" s="20">
        <f>D110+I110</f>
        <v/>
      </c>
      <c r="L110" s="21">
        <f>K110*C110</f>
        <v/>
      </c>
      <c r="M110" s="31">
        <f>IF(G110&gt;0,K110/(G110/30),"—")</f>
        <v/>
      </c>
      <c r="N110" s="22" t="inlineStr">
        <is>
          <t>Cobertura acima do teto elegivel - sem compra. Ver secao 12/17 do dossie.</t>
        </is>
      </c>
    </row>
    <row r="111">
      <c r="A111" s="25" t="inlineStr">
        <is>
          <t>FORDAY Q10 100MG 60CAP VTC</t>
        </is>
      </c>
      <c r="B111" s="25" t="inlineStr">
        <is>
          <t>Zumbi</t>
        </is>
      </c>
      <c r="C111" s="26" t="n">
        <v>26.8502</v>
      </c>
      <c r="D111" s="16" t="n">
        <v>448</v>
      </c>
      <c r="E111" s="17">
        <f>C111*D111</f>
        <v/>
      </c>
      <c r="F111" s="27" t="n">
        <v>1920</v>
      </c>
      <c r="G111" s="16" t="n">
        <v>7</v>
      </c>
      <c r="H111" s="15">
        <f>IF(AND(F111&lt;Resumo!$B$8,B111&lt;&gt;"Lançamento",G111&gt;0),"Sim","Não")</f>
        <v/>
      </c>
      <c r="I111" s="28" t="n">
        <v>0</v>
      </c>
      <c r="J111" s="17">
        <f>I111*C111</f>
        <v/>
      </c>
      <c r="K111" s="16">
        <f>D111+I111</f>
        <v/>
      </c>
      <c r="L111" s="17">
        <f>K111*C111</f>
        <v/>
      </c>
      <c r="M111" s="27">
        <f>IF(G111&gt;0,K111/(G111/30),"—")</f>
        <v/>
      </c>
      <c r="N111" s="18" t="inlineStr">
        <is>
          <t>Cobertura acima do teto elegivel - sem compra. Ver secao 12/17 do dossie.</t>
        </is>
      </c>
    </row>
    <row r="112">
      <c r="A112" s="29" t="inlineStr">
        <is>
          <t>FORDAY 50+ 60CPD VTC</t>
        </is>
      </c>
      <c r="B112" s="29" t="inlineStr">
        <is>
          <t>Zumbi</t>
        </is>
      </c>
      <c r="C112" s="30" t="n">
        <v>11.5801</v>
      </c>
      <c r="D112" s="20" t="n">
        <v>441</v>
      </c>
      <c r="E112" s="21">
        <f>C112*D112</f>
        <v/>
      </c>
      <c r="F112" s="31" t="n">
        <v>696.3</v>
      </c>
      <c r="G112" s="20" t="n">
        <v>19</v>
      </c>
      <c r="H112" s="19">
        <f>IF(AND(F112&lt;Resumo!$B$8,B112&lt;&gt;"Lançamento",G112&gt;0),"Sim","Não")</f>
        <v/>
      </c>
      <c r="I112" s="28" t="n">
        <v>0</v>
      </c>
      <c r="J112" s="21">
        <f>I112*C112</f>
        <v/>
      </c>
      <c r="K112" s="20">
        <f>D112+I112</f>
        <v/>
      </c>
      <c r="L112" s="21">
        <f>K112*C112</f>
        <v/>
      </c>
      <c r="M112" s="31">
        <f>IF(G112&gt;0,K112/(G112/30),"—")</f>
        <v/>
      </c>
      <c r="N112" s="22" t="inlineStr">
        <is>
          <t>Cobertura acima do teto elegivel - sem compra. Ver secao 12/17 do dossie.</t>
        </is>
      </c>
    </row>
    <row r="113">
      <c r="A113" s="25" t="inlineStr">
        <is>
          <t>FORDAY A-Z 60CPD VTC</t>
        </is>
      </c>
      <c r="B113" s="25" t="inlineStr">
        <is>
          <t>Zumbi</t>
        </is>
      </c>
      <c r="C113" s="26" t="n">
        <v>11.5801</v>
      </c>
      <c r="D113" s="16" t="n">
        <v>417</v>
      </c>
      <c r="E113" s="17">
        <f>C113*D113</f>
        <v/>
      </c>
      <c r="F113" s="27" t="n">
        <v>624</v>
      </c>
      <c r="G113" s="16" t="n">
        <v>20</v>
      </c>
      <c r="H113" s="15">
        <f>IF(AND(F113&lt;Resumo!$B$8,B113&lt;&gt;"Lançamento",G113&gt;0),"Sim","Não")</f>
        <v/>
      </c>
      <c r="I113" s="28" t="n">
        <v>0</v>
      </c>
      <c r="J113" s="17">
        <f>I113*C113</f>
        <v/>
      </c>
      <c r="K113" s="16">
        <f>D113+I113</f>
        <v/>
      </c>
      <c r="L113" s="17">
        <f>K113*C113</f>
        <v/>
      </c>
      <c r="M113" s="27">
        <f>IF(G113&gt;0,K113/(G113/30),"—")</f>
        <v/>
      </c>
      <c r="N113" s="18" t="inlineStr">
        <is>
          <t>Cobertura acima do teto elegivel - sem compra. Ver secao 12/17 do dossie.</t>
        </is>
      </c>
    </row>
    <row r="114">
      <c r="A114" s="29" t="inlineStr">
        <is>
          <t>VIT PANTENOL 50MG PDA 30G DEXPANT VTC</t>
        </is>
      </c>
      <c r="B114" s="29" t="inlineStr">
        <is>
          <t>Zumbi</t>
        </is>
      </c>
      <c r="C114" s="30" t="n">
        <v>5.71</v>
      </c>
      <c r="D114" s="20" t="n">
        <v>414</v>
      </c>
      <c r="E114" s="21">
        <f>C114*D114</f>
        <v/>
      </c>
      <c r="F114" s="31" t="n">
        <v>517.5</v>
      </c>
      <c r="G114" s="20" t="n">
        <v>24</v>
      </c>
      <c r="H114" s="19">
        <f>IF(AND(F114&lt;Resumo!$B$8,B114&lt;&gt;"Lançamento",G114&gt;0),"Sim","Não")</f>
        <v/>
      </c>
      <c r="I114" s="28" t="n">
        <v>0</v>
      </c>
      <c r="J114" s="21">
        <f>I114*C114</f>
        <v/>
      </c>
      <c r="K114" s="20">
        <f>D114+I114</f>
        <v/>
      </c>
      <c r="L114" s="21">
        <f>K114*C114</f>
        <v/>
      </c>
      <c r="M114" s="31">
        <f>IF(G114&gt;0,K114/(G114/30),"—")</f>
        <v/>
      </c>
      <c r="N114" s="22" t="inlineStr">
        <is>
          <t>Cobertura acima do teto elegivel - sem compra. Ver secao 12/17 do dossie.</t>
        </is>
      </c>
    </row>
    <row r="115">
      <c r="A115" s="25" t="inlineStr">
        <is>
          <t>FORDAY CURCUMA PLUS 60CAP VTC</t>
        </is>
      </c>
      <c r="B115" s="25" t="inlineStr">
        <is>
          <t>Zumbi</t>
        </is>
      </c>
      <c r="C115" s="26" t="n">
        <v>21.9502</v>
      </c>
      <c r="D115" s="16" t="n">
        <v>400</v>
      </c>
      <c r="E115" s="17">
        <f>C115*D115</f>
        <v/>
      </c>
      <c r="F115" s="27" t="n">
        <v>1090.9</v>
      </c>
      <c r="G115" s="16" t="n">
        <v>11</v>
      </c>
      <c r="H115" s="15">
        <f>IF(AND(F115&lt;Resumo!$B$8,B115&lt;&gt;"Lançamento",G115&gt;0),"Sim","Não")</f>
        <v/>
      </c>
      <c r="I115" s="28" t="n">
        <v>0</v>
      </c>
      <c r="J115" s="17">
        <f>I115*C115</f>
        <v/>
      </c>
      <c r="K115" s="16">
        <f>D115+I115</f>
        <v/>
      </c>
      <c r="L115" s="17">
        <f>K115*C115</f>
        <v/>
      </c>
      <c r="M115" s="27">
        <f>IF(G115&gt;0,K115/(G115/30),"—")</f>
        <v/>
      </c>
      <c r="N115" s="18" t="inlineStr">
        <is>
          <t>Cobertura acima do teto elegivel - sem compra. Ver secao 12/17 do dossie.</t>
        </is>
      </c>
    </row>
    <row r="116">
      <c r="A116" s="29" t="inlineStr">
        <is>
          <t>FORDAY A-Z HOMEM 60CPD VTC</t>
        </is>
      </c>
      <c r="B116" s="29" t="inlineStr">
        <is>
          <t>Zumbi</t>
        </is>
      </c>
      <c r="C116" s="30" t="n">
        <v>11.5801</v>
      </c>
      <c r="D116" s="20" t="n">
        <v>395</v>
      </c>
      <c r="E116" s="21">
        <f>C116*D116</f>
        <v/>
      </c>
      <c r="F116" s="31" t="n">
        <v>564.3</v>
      </c>
      <c r="G116" s="20" t="n">
        <v>21</v>
      </c>
      <c r="H116" s="19">
        <f>IF(AND(F116&lt;Resumo!$B$8,B116&lt;&gt;"Lançamento",G116&gt;0),"Sim","Não")</f>
        <v/>
      </c>
      <c r="I116" s="28" t="n">
        <v>0</v>
      </c>
      <c r="J116" s="21">
        <f>I116*C116</f>
        <v/>
      </c>
      <c r="K116" s="20">
        <f>D116+I116</f>
        <v/>
      </c>
      <c r="L116" s="21">
        <f>K116*C116</f>
        <v/>
      </c>
      <c r="M116" s="31">
        <f>IF(G116&gt;0,K116/(G116/30),"—")</f>
        <v/>
      </c>
      <c r="N116" s="22" t="inlineStr">
        <is>
          <t>Cobertura acima do teto elegivel - sem compra. Ver secao 12/17 do dossie.</t>
        </is>
      </c>
    </row>
    <row r="117">
      <c r="A117" s="25" t="inlineStr">
        <is>
          <t>FORDAY A-Z MULHER 60CPD VTC</t>
        </is>
      </c>
      <c r="B117" s="25" t="inlineStr">
        <is>
          <t>Zumbi</t>
        </is>
      </c>
      <c r="C117" s="26" t="n">
        <v>11.5801</v>
      </c>
      <c r="D117" s="16" t="n">
        <v>385</v>
      </c>
      <c r="E117" s="17">
        <f>C117*D117</f>
        <v/>
      </c>
      <c r="F117" s="27" t="n">
        <v>487.1</v>
      </c>
      <c r="G117" s="16" t="n">
        <v>21</v>
      </c>
      <c r="H117" s="15">
        <f>IF(AND(F117&lt;Resumo!$B$8,B117&lt;&gt;"Lançamento",G117&gt;0),"Sim","Não")</f>
        <v/>
      </c>
      <c r="I117" s="28" t="n">
        <v>0</v>
      </c>
      <c r="J117" s="17">
        <f>I117*C117</f>
        <v/>
      </c>
      <c r="K117" s="16">
        <f>D117+I117</f>
        <v/>
      </c>
      <c r="L117" s="17">
        <f>K117*C117</f>
        <v/>
      </c>
      <c r="M117" s="27">
        <f>IF(G117&gt;0,K117/(G117/30),"—")</f>
        <v/>
      </c>
      <c r="N117" s="18" t="inlineStr">
        <is>
          <t>Cobertura acima do teto elegivel - sem compra. Ver secao 12/17 do dossie.</t>
        </is>
      </c>
    </row>
    <row r="118">
      <c r="A118" s="29" t="inlineStr">
        <is>
          <t>GLICOMET 850MG 30CPD VTC</t>
        </is>
      </c>
      <c r="B118" s="29" t="inlineStr">
        <is>
          <t>Zumbi</t>
        </is>
      </c>
      <c r="C118" s="30" t="n">
        <v>5.9339</v>
      </c>
      <c r="D118" s="20" t="n">
        <v>364</v>
      </c>
      <c r="E118" s="21">
        <f>C118*D118</f>
        <v/>
      </c>
      <c r="F118" s="31" t="n">
        <v>992.7</v>
      </c>
      <c r="G118" s="20" t="n">
        <v>11</v>
      </c>
      <c r="H118" s="19">
        <f>IF(AND(F118&lt;Resumo!$B$8,B118&lt;&gt;"Lançamento",G118&gt;0),"Sim","Não")</f>
        <v/>
      </c>
      <c r="I118" s="28" t="n">
        <v>0</v>
      </c>
      <c r="J118" s="21">
        <f>I118*C118</f>
        <v/>
      </c>
      <c r="K118" s="20">
        <f>D118+I118</f>
        <v/>
      </c>
      <c r="L118" s="21">
        <f>K118*C118</f>
        <v/>
      </c>
      <c r="M118" s="31">
        <f>IF(G118&gt;0,K118/(G118/30),"—")</f>
        <v/>
      </c>
      <c r="N118" s="22" t="inlineStr">
        <is>
          <t>Cobertura acima do teto elegivel - sem compra. Ver secao 12/17 do dossie.</t>
        </is>
      </c>
    </row>
    <row r="119">
      <c r="A119" s="25" t="inlineStr">
        <is>
          <t>ENERGIPE C+ ZINCO 1G+10MG 30CPD EFEV VTC</t>
        </is>
      </c>
      <c r="B119" s="25" t="inlineStr">
        <is>
          <t>Zumbi</t>
        </is>
      </c>
      <c r="C119" s="26" t="n">
        <v>12.1375</v>
      </c>
      <c r="D119" s="16" t="n">
        <v>337</v>
      </c>
      <c r="E119" s="17">
        <f>C119*D119</f>
        <v/>
      </c>
      <c r="F119" s="27" t="n">
        <v>404.4</v>
      </c>
      <c r="G119" s="16" t="n">
        <v>25</v>
      </c>
      <c r="H119" s="15">
        <f>IF(AND(F119&lt;Resumo!$B$8,B119&lt;&gt;"Lançamento",G119&gt;0),"Sim","Não")</f>
        <v/>
      </c>
      <c r="I119" s="28" t="n">
        <v>0</v>
      </c>
      <c r="J119" s="17">
        <f>I119*C119</f>
        <v/>
      </c>
      <c r="K119" s="16">
        <f>D119+I119</f>
        <v/>
      </c>
      <c r="L119" s="17">
        <f>K119*C119</f>
        <v/>
      </c>
      <c r="M119" s="27">
        <f>IF(G119&gt;0,K119/(G119/30),"—")</f>
        <v/>
      </c>
      <c r="N119" s="18" t="inlineStr">
        <is>
          <t>Cobertura acima do teto elegivel - sem compra. Ver secao 12/17 do dossie.</t>
        </is>
      </c>
    </row>
    <row r="120">
      <c r="A120" s="29" t="inlineStr">
        <is>
          <t>FORDAY COLAGENO TIPO II 60CAP VTC</t>
        </is>
      </c>
      <c r="B120" s="29" t="inlineStr">
        <is>
          <t>Zumbi</t>
        </is>
      </c>
      <c r="C120" s="30" t="n">
        <v>47.6603</v>
      </c>
      <c r="D120" s="20" t="n">
        <v>320</v>
      </c>
      <c r="E120" s="21">
        <f>C120*D120</f>
        <v/>
      </c>
      <c r="F120" s="31" t="n">
        <v>457.1</v>
      </c>
      <c r="G120" s="20" t="n">
        <v>21</v>
      </c>
      <c r="H120" s="19">
        <f>IF(AND(F120&lt;Resumo!$B$8,B120&lt;&gt;"Lançamento",G120&gt;0),"Sim","Não")</f>
        <v/>
      </c>
      <c r="I120" s="28" t="n">
        <v>0</v>
      </c>
      <c r="J120" s="21">
        <f>I120*C120</f>
        <v/>
      </c>
      <c r="K120" s="20">
        <f>D120+I120</f>
        <v/>
      </c>
      <c r="L120" s="21">
        <f>K120*C120</f>
        <v/>
      </c>
      <c r="M120" s="31">
        <f>IF(G120&gt;0,K120/(G120/30),"—")</f>
        <v/>
      </c>
      <c r="N120" s="22" t="inlineStr">
        <is>
          <t>Cobertura acima do teto elegivel - sem compra. Ver secao 12/17 do dossie.</t>
        </is>
      </c>
    </row>
    <row r="121">
      <c r="A121" s="25" t="inlineStr">
        <is>
          <t>BROMOPRIDA 4MG/ML GTS 20ML G VTC</t>
        </is>
      </c>
      <c r="B121" s="25" t="inlineStr">
        <is>
          <t>Zumbi</t>
        </is>
      </c>
      <c r="C121" s="26" t="n">
        <v>18.2203</v>
      </c>
      <c r="D121" s="16" t="n">
        <v>260</v>
      </c>
      <c r="E121" s="17">
        <f>C121*D121</f>
        <v/>
      </c>
      <c r="F121" s="27" t="n">
        <v>514.3</v>
      </c>
      <c r="G121" s="16" t="n">
        <v>14</v>
      </c>
      <c r="H121" s="15">
        <f>IF(AND(F121&lt;Resumo!$B$8,B121&lt;&gt;"Lançamento",G121&gt;0),"Sim","Não")</f>
        <v/>
      </c>
      <c r="I121" s="28" t="n">
        <v>0</v>
      </c>
      <c r="J121" s="17">
        <f>I121*C121</f>
        <v/>
      </c>
      <c r="K121" s="16">
        <f>D121+I121</f>
        <v/>
      </c>
      <c r="L121" s="17">
        <f>K121*C121</f>
        <v/>
      </c>
      <c r="M121" s="27">
        <f>IF(G121&gt;0,K121/(G121/30),"—")</f>
        <v/>
      </c>
      <c r="N121" s="18" t="inlineStr">
        <is>
          <t>Cobertura acima do teto elegivel - sem compra. Ver secao 12/17 do dossie.</t>
        </is>
      </c>
    </row>
    <row r="122">
      <c r="A122" s="29" t="inlineStr">
        <is>
          <t>SUAVEBABY 1000+400UI 100MG POM 45G VTC</t>
        </is>
      </c>
      <c r="B122" s="29" t="inlineStr">
        <is>
          <t>Zumbi</t>
        </is>
      </c>
      <c r="C122" s="30" t="n">
        <v>4.9775</v>
      </c>
      <c r="D122" s="20" t="n">
        <v>211</v>
      </c>
      <c r="E122" s="21">
        <f>C122*D122</f>
        <v/>
      </c>
      <c r="F122" s="31" t="n">
        <v>6330</v>
      </c>
      <c r="G122" s="20" t="n">
        <v>1</v>
      </c>
      <c r="H122" s="19">
        <f>IF(AND(F122&lt;Resumo!$B$8,B122&lt;&gt;"Lançamento",G122&gt;0),"Sim","Não")</f>
        <v/>
      </c>
      <c r="I122" s="28" t="n">
        <v>0</v>
      </c>
      <c r="J122" s="21">
        <f>I122*C122</f>
        <v/>
      </c>
      <c r="K122" s="20">
        <f>D122+I122</f>
        <v/>
      </c>
      <c r="L122" s="21">
        <f>K122*C122</f>
        <v/>
      </c>
      <c r="M122" s="31">
        <f>IF(G122&gt;0,K122/(G122/30),"—")</f>
        <v/>
      </c>
      <c r="N122" s="22" t="inlineStr">
        <is>
          <t>Cobertura acima do teto elegivel - sem compra. Ver secao 12/17 do dossie.</t>
        </is>
      </c>
    </row>
    <row r="123">
      <c r="A123" s="25" t="inlineStr">
        <is>
          <t>VITAMINA D3 50000UI 4CPD VTC</t>
        </is>
      </c>
      <c r="B123" s="25" t="inlineStr">
        <is>
          <t>Zumbi</t>
        </is>
      </c>
      <c r="C123" s="26" t="n">
        <v>9.619999999999999</v>
      </c>
      <c r="D123" s="16" t="n">
        <v>208</v>
      </c>
      <c r="E123" s="17">
        <f>C123*D123</f>
        <v/>
      </c>
      <c r="F123" s="27" t="n">
        <v>367.1</v>
      </c>
      <c r="G123" s="16" t="n">
        <v>17</v>
      </c>
      <c r="H123" s="15">
        <f>IF(AND(F123&lt;Resumo!$B$8,B123&lt;&gt;"Lançamento",G123&gt;0),"Sim","Não")</f>
        <v/>
      </c>
      <c r="I123" s="28" t="n">
        <v>0</v>
      </c>
      <c r="J123" s="17">
        <f>I123*C123</f>
        <v/>
      </c>
      <c r="K123" s="16">
        <f>D123+I123</f>
        <v/>
      </c>
      <c r="L123" s="17">
        <f>K123*C123</f>
        <v/>
      </c>
      <c r="M123" s="27">
        <f>IF(G123&gt;0,K123/(G123/30),"—")</f>
        <v/>
      </c>
      <c r="N123" s="18" t="inlineStr">
        <is>
          <t>Cobertura acima do teto elegivel - sem compra. Ver secao 12/17 do dossie.</t>
        </is>
      </c>
    </row>
    <row r="124">
      <c r="A124" s="29" t="inlineStr">
        <is>
          <t>DIMENIDRINATO 25+5MG/ML SL OR 20ML G VTC</t>
        </is>
      </c>
      <c r="B124" s="29" t="inlineStr">
        <is>
          <t>Zumbi</t>
        </is>
      </c>
      <c r="C124" s="30" t="n">
        <v>5.234</v>
      </c>
      <c r="D124" s="20" t="n">
        <v>188</v>
      </c>
      <c r="E124" s="21">
        <f>C124*D124</f>
        <v/>
      </c>
      <c r="F124" s="31" t="n">
        <v>512.7</v>
      </c>
      <c r="G124" s="20" t="n">
        <v>11</v>
      </c>
      <c r="H124" s="19">
        <f>IF(AND(F124&lt;Resumo!$B$8,B124&lt;&gt;"Lançamento",G124&gt;0),"Sim","Não")</f>
        <v/>
      </c>
      <c r="I124" s="28" t="n">
        <v>0</v>
      </c>
      <c r="J124" s="21">
        <f>I124*C124</f>
        <v/>
      </c>
      <c r="K124" s="20">
        <f>D124+I124</f>
        <v/>
      </c>
      <c r="L124" s="21">
        <f>K124*C124</f>
        <v/>
      </c>
      <c r="M124" s="31">
        <f>IF(G124&gt;0,K124/(G124/30),"—")</f>
        <v/>
      </c>
      <c r="N124" s="22" t="inlineStr">
        <is>
          <t>Cobertura acima do teto elegivel - sem compra. Ver secao 12/17 do dossie.</t>
        </is>
      </c>
    </row>
    <row r="125">
      <c r="A125" s="25" t="inlineStr">
        <is>
          <t>SUAVEBABY MENINO CREME 45G VTC</t>
        </is>
      </c>
      <c r="B125" s="25" t="inlineStr">
        <is>
          <t>Zumbi</t>
        </is>
      </c>
      <c r="C125" s="26" t="n">
        <v>6.4246</v>
      </c>
      <c r="D125" s="16" t="n">
        <v>170</v>
      </c>
      <c r="E125" s="17">
        <f>C125*D125</f>
        <v/>
      </c>
      <c r="F125" s="27" t="n">
        <v>463.6</v>
      </c>
      <c r="G125" s="16" t="n">
        <v>11</v>
      </c>
      <c r="H125" s="15">
        <f>IF(AND(F125&lt;Resumo!$B$8,B125&lt;&gt;"Lançamento",G125&gt;0),"Sim","Não")</f>
        <v/>
      </c>
      <c r="I125" s="28" t="n">
        <v>0</v>
      </c>
      <c r="J125" s="17">
        <f>I125*C125</f>
        <v/>
      </c>
      <c r="K125" s="16">
        <f>D125+I125</f>
        <v/>
      </c>
      <c r="L125" s="17">
        <f>K125*C125</f>
        <v/>
      </c>
      <c r="M125" s="27">
        <f>IF(G125&gt;0,K125/(G125/30),"—")</f>
        <v/>
      </c>
      <c r="N125" s="18" t="inlineStr">
        <is>
          <t>Cobertura acima do teto elegivel - sem compra. Ver secao 12/17 do dossie.</t>
        </is>
      </c>
    </row>
    <row r="126">
      <c r="A126" s="29" t="inlineStr">
        <is>
          <t>AFECSO 6MG/ML SUSP ORAL 150ML VTC</t>
        </is>
      </c>
      <c r="B126" s="29" t="inlineStr">
        <is>
          <t>Zumbi</t>
        </is>
      </c>
      <c r="C126" s="30" t="n">
        <v>23.7048</v>
      </c>
      <c r="D126" s="20" t="n">
        <v>165</v>
      </c>
      <c r="E126" s="21">
        <f>C126*D126</f>
        <v/>
      </c>
      <c r="F126" s="31" t="n">
        <v>707.1</v>
      </c>
      <c r="G126" s="20" t="n">
        <v>7</v>
      </c>
      <c r="H126" s="19">
        <f>IF(AND(F126&lt;Resumo!$B$8,B126&lt;&gt;"Lançamento",G126&gt;0),"Sim","Não")</f>
        <v/>
      </c>
      <c r="I126" s="28" t="n">
        <v>0</v>
      </c>
      <c r="J126" s="21">
        <f>I126*C126</f>
        <v/>
      </c>
      <c r="K126" s="20">
        <f>D126+I126</f>
        <v/>
      </c>
      <c r="L126" s="21">
        <f>K126*C126</f>
        <v/>
      </c>
      <c r="M126" s="31">
        <f>IF(G126&gt;0,K126/(G126/30),"—")</f>
        <v/>
      </c>
      <c r="N126" s="22" t="inlineStr">
        <is>
          <t>Cobertura acima do teto elegivel - sem compra. Ver secao 12/17 do dossie.</t>
        </is>
      </c>
    </row>
    <row r="127">
      <c r="A127" s="25" t="inlineStr">
        <is>
          <t>TENOLON 100MG 30CPD VTC</t>
        </is>
      </c>
      <c r="B127" s="25" t="inlineStr">
        <is>
          <t>Zumbi</t>
        </is>
      </c>
      <c r="C127" s="26" t="n">
        <v>2.9335</v>
      </c>
      <c r="D127" s="16" t="n">
        <v>110</v>
      </c>
      <c r="E127" s="17">
        <f>C127*D127</f>
        <v/>
      </c>
      <c r="F127" s="27" t="n">
        <v>1650</v>
      </c>
      <c r="G127" s="16" t="n">
        <v>2</v>
      </c>
      <c r="H127" s="15">
        <f>IF(AND(F127&lt;Resumo!$B$8,B127&lt;&gt;"Lançamento",G127&gt;0),"Sim","Não")</f>
        <v/>
      </c>
      <c r="I127" s="28" t="n">
        <v>0</v>
      </c>
      <c r="J127" s="17">
        <f>I127*C127</f>
        <v/>
      </c>
      <c r="K127" s="16">
        <f>D127+I127</f>
        <v/>
      </c>
      <c r="L127" s="17">
        <f>K127*C127</f>
        <v/>
      </c>
      <c r="M127" s="27">
        <f>IF(G127&gt;0,K127/(G127/30),"—")</f>
        <v/>
      </c>
      <c r="N127" s="18" t="inlineStr">
        <is>
          <t>Cobertura acima do teto elegivel - sem compra. Ver secao 12/17 do dossie.</t>
        </is>
      </c>
    </row>
    <row r="128">
      <c r="A128" s="29" t="inlineStr">
        <is>
          <t>RISPERIDONA 2MG 30CPD (C1) G VTC</t>
        </is>
      </c>
      <c r="B128" s="29" t="inlineStr">
        <is>
          <t>Zumbi</t>
        </is>
      </c>
      <c r="C128" s="30" t="n">
        <v>6.24</v>
      </c>
      <c r="D128" s="20" t="n">
        <v>104</v>
      </c>
      <c r="E128" s="21">
        <f>C128*D128</f>
        <v/>
      </c>
      <c r="F128" s="31" t="n">
        <v>445.7</v>
      </c>
      <c r="G128" s="20" t="n">
        <v>7</v>
      </c>
      <c r="H128" s="19">
        <f>IF(AND(F128&lt;Resumo!$B$8,B128&lt;&gt;"Lançamento",G128&gt;0),"Sim","Não")</f>
        <v/>
      </c>
      <c r="I128" s="28" t="n">
        <v>0</v>
      </c>
      <c r="J128" s="21">
        <f>I128*C128</f>
        <v/>
      </c>
      <c r="K128" s="20">
        <f>D128+I128</f>
        <v/>
      </c>
      <c r="L128" s="21">
        <f>K128*C128</f>
        <v/>
      </c>
      <c r="M128" s="31">
        <f>IF(G128&gt;0,K128/(G128/30),"—")</f>
        <v/>
      </c>
      <c r="N128" s="22" t="inlineStr">
        <is>
          <t>Cobertura acima do teto elegivel - sem compra. Ver secao 12/17 do dossie.</t>
        </is>
      </c>
    </row>
    <row r="129">
      <c r="A129" s="25" t="inlineStr">
        <is>
          <t>SUNVYT ALOE VERA GEL 120G VTC</t>
        </is>
      </c>
      <c r="B129" s="25" t="inlineStr">
        <is>
          <t>Zumbi</t>
        </is>
      </c>
      <c r="C129" s="26" t="n">
        <v>9.3497</v>
      </c>
      <c r="D129" s="16" t="n">
        <v>98</v>
      </c>
      <c r="E129" s="17">
        <f>C129*D129</f>
        <v/>
      </c>
      <c r="F129" s="27" t="n">
        <v>2940</v>
      </c>
      <c r="G129" s="16" t="n">
        <v>1</v>
      </c>
      <c r="H129" s="15">
        <f>IF(AND(F129&lt;Resumo!$B$8,B129&lt;&gt;"Lançamento",G129&gt;0),"Sim","Não")</f>
        <v/>
      </c>
      <c r="I129" s="28" t="n">
        <v>0</v>
      </c>
      <c r="J129" s="17">
        <f>I129*C129</f>
        <v/>
      </c>
      <c r="K129" s="16">
        <f>D129+I129</f>
        <v/>
      </c>
      <c r="L129" s="17">
        <f>K129*C129</f>
        <v/>
      </c>
      <c r="M129" s="27">
        <f>IF(G129&gt;0,K129/(G129/30),"—")</f>
        <v/>
      </c>
      <c r="N129" s="18" t="inlineStr">
        <is>
          <t>Cobertura acima do teto elegivel - sem compra. Ver secao 12/17 do dossie.</t>
        </is>
      </c>
    </row>
    <row r="130">
      <c r="A130" s="29" t="inlineStr">
        <is>
          <t>METFORMINA 850MG 30CPD G VTC</t>
        </is>
      </c>
      <c r="B130" s="29" t="inlineStr">
        <is>
          <t>Zumbi</t>
        </is>
      </c>
      <c r="C130" s="30" t="n">
        <v>5.79</v>
      </c>
      <c r="D130" s="20" t="n">
        <v>92</v>
      </c>
      <c r="E130" s="21">
        <f>C130*D130</f>
        <v/>
      </c>
      <c r="F130" s="31" t="n">
        <v>1380</v>
      </c>
      <c r="G130" s="20" t="n">
        <v>2</v>
      </c>
      <c r="H130" s="19">
        <f>IF(AND(F130&lt;Resumo!$B$8,B130&lt;&gt;"Lançamento",G130&gt;0),"Sim","Não")</f>
        <v/>
      </c>
      <c r="I130" s="28" t="n">
        <v>0</v>
      </c>
      <c r="J130" s="21">
        <f>I130*C130</f>
        <v/>
      </c>
      <c r="K130" s="20">
        <f>D130+I130</f>
        <v/>
      </c>
      <c r="L130" s="21">
        <f>K130*C130</f>
        <v/>
      </c>
      <c r="M130" s="31">
        <f>IF(G130&gt;0,K130/(G130/30),"—")</f>
        <v/>
      </c>
      <c r="N130" s="22" t="inlineStr">
        <is>
          <t>Cobertura acima do teto elegivel - sem compra. Ver secao 12/17 do dossie.</t>
        </is>
      </c>
    </row>
    <row r="131">
      <c r="A131" s="25" t="inlineStr">
        <is>
          <t>BUTACID 200MG 200CPD EQ VTC</t>
        </is>
      </c>
      <c r="B131" s="25" t="inlineStr">
        <is>
          <t>Zumbi</t>
        </is>
      </c>
      <c r="C131" s="26" t="n">
        <v>71.199</v>
      </c>
      <c r="D131" s="16" t="n">
        <v>59</v>
      </c>
      <c r="E131" s="17">
        <f>C131*D131</f>
        <v/>
      </c>
      <c r="F131" s="27" t="n">
        <v>1770</v>
      </c>
      <c r="G131" s="16" t="n">
        <v>1</v>
      </c>
      <c r="H131" s="15">
        <f>IF(AND(F131&lt;Resumo!$B$8,B131&lt;&gt;"Lançamento",G131&gt;0),"Sim","Não")</f>
        <v/>
      </c>
      <c r="I131" s="28" t="n">
        <v>0</v>
      </c>
      <c r="J131" s="17">
        <f>I131*C131</f>
        <v/>
      </c>
      <c r="K131" s="16">
        <f>D131+I131</f>
        <v/>
      </c>
      <c r="L131" s="17">
        <f>K131*C131</f>
        <v/>
      </c>
      <c r="M131" s="27">
        <f>IF(G131&gt;0,K131/(G131/30),"—")</f>
        <v/>
      </c>
      <c r="N131" s="18" t="inlineStr">
        <is>
          <t>Cobertura acima do teto elegivel - sem compra. Ver secao 12/17 do dossie.</t>
        </is>
      </c>
    </row>
    <row r="132">
      <c r="A132" s="29" t="inlineStr">
        <is>
          <t>CLORDILON 50MG 30CPD VTC</t>
        </is>
      </c>
      <c r="B132" s="29" t="inlineStr">
        <is>
          <t>Zumbi</t>
        </is>
      </c>
      <c r="C132" s="30" t="n">
        <v>4.0387</v>
      </c>
      <c r="D132" s="20" t="n">
        <v>48</v>
      </c>
      <c r="E132" s="21">
        <f>C132*D132</f>
        <v/>
      </c>
      <c r="F132" s="31" t="n">
        <v>720</v>
      </c>
      <c r="G132" s="20" t="n">
        <v>2</v>
      </c>
      <c r="H132" s="19">
        <f>IF(AND(F132&lt;Resumo!$B$8,B132&lt;&gt;"Lançamento",G132&gt;0),"Sim","Não")</f>
        <v/>
      </c>
      <c r="I132" s="28" t="n">
        <v>0</v>
      </c>
      <c r="J132" s="21">
        <f>I132*C132</f>
        <v/>
      </c>
      <c r="K132" s="20">
        <f>D132+I132</f>
        <v/>
      </c>
      <c r="L132" s="21">
        <f>K132*C132</f>
        <v/>
      </c>
      <c r="M132" s="31">
        <f>IF(G132&gt;0,K132/(G132/30),"—")</f>
        <v/>
      </c>
      <c r="N132" s="22" t="inlineStr">
        <is>
          <t>Cobertura acima do teto elegivel - sem compra. Ver secao 12/17 do dossie.</t>
        </is>
      </c>
    </row>
    <row r="133">
      <c r="A133" s="25" t="inlineStr">
        <is>
          <t>ATENOLOL+CLORTAL 100+25MG 30CPD G VTC</t>
        </is>
      </c>
      <c r="B133" s="25" t="inlineStr">
        <is>
          <t>Zumbi</t>
        </is>
      </c>
      <c r="C133" s="26" t="n">
        <v>8.513199999999999</v>
      </c>
      <c r="D133" s="16" t="n">
        <v>47</v>
      </c>
      <c r="E133" s="17">
        <f>C133*D133</f>
        <v/>
      </c>
      <c r="F133" s="27" t="n">
        <v>705</v>
      </c>
      <c r="G133" s="16" t="n">
        <v>2</v>
      </c>
      <c r="H133" s="15">
        <f>IF(AND(F133&lt;Resumo!$B$8,B133&lt;&gt;"Lançamento",G133&gt;0),"Sim","Não")</f>
        <v/>
      </c>
      <c r="I133" s="28" t="n">
        <v>0</v>
      </c>
      <c r="J133" s="17">
        <f>I133*C133</f>
        <v/>
      </c>
      <c r="K133" s="16">
        <f>D133+I133</f>
        <v/>
      </c>
      <c r="L133" s="17">
        <f>K133*C133</f>
        <v/>
      </c>
      <c r="M133" s="27">
        <f>IF(G133&gt;0,K133/(G133/30),"—")</f>
        <v/>
      </c>
      <c r="N133" s="18" t="inlineStr">
        <is>
          <t>Cobertura acima do teto elegivel - sem compra. Ver secao 12/17 do dossie.</t>
        </is>
      </c>
    </row>
    <row r="134">
      <c r="A134" s="29" t="inlineStr">
        <is>
          <t>KIT GLUCOLEADER APARELH+EST+BATERIA VTC</t>
        </is>
      </c>
      <c r="B134" s="29" t="inlineStr">
        <is>
          <t>Zumbi</t>
        </is>
      </c>
      <c r="C134" s="30" t="n">
        <v>25.1291</v>
      </c>
      <c r="D134" s="20" t="n">
        <v>19</v>
      </c>
      <c r="E134" s="21">
        <f>C134*D134</f>
        <v/>
      </c>
      <c r="F134" s="31" t="n">
        <v/>
      </c>
      <c r="G134" s="20" t="n">
        <v>0</v>
      </c>
      <c r="H134" s="19">
        <f>IF(AND(F134&lt;Resumo!$B$8,B134&lt;&gt;"Lançamento",G134&gt;0),"Sim","Não")</f>
        <v/>
      </c>
      <c r="I134" s="28" t="n">
        <v>0</v>
      </c>
      <c r="J134" s="21">
        <f>I134*C134</f>
        <v/>
      </c>
      <c r="K134" s="20">
        <f>D134+I134</f>
        <v/>
      </c>
      <c r="L134" s="21">
        <f>K134*C134</f>
        <v/>
      </c>
      <c r="M134" s="31">
        <f>IF(G134&gt;0,K134/(G134/30),"—")</f>
        <v/>
      </c>
      <c r="N134" s="22" t="inlineStr">
        <is>
          <t>Cobertura acima do teto elegivel - sem compra. Ver secao 12/17 do dossie.</t>
        </is>
      </c>
    </row>
    <row r="135">
      <c r="A135" s="47" t="inlineStr">
        <is>
          <t>TOTAL (130 SKUs)</t>
        </is>
      </c>
      <c r="B135" s="19" t="n"/>
      <c r="C135" s="19" t="n"/>
      <c r="D135" s="19" t="n"/>
      <c r="E135" s="48">
        <f>SUM(E5:E134)</f>
        <v/>
      </c>
      <c r="F135" s="19" t="n"/>
      <c r="G135" s="19" t="n"/>
      <c r="H135" s="19" t="n"/>
      <c r="I135" s="49">
        <f>SUM(I5:I134)</f>
        <v/>
      </c>
      <c r="J135" s="48">
        <f>SUM(J5:J134)</f>
        <v/>
      </c>
      <c r="K135" s="19" t="n"/>
      <c r="L135" s="48">
        <f>SUM(L5:L134)</f>
        <v/>
      </c>
      <c r="M135" s="19" t="n"/>
      <c r="N135" s="19" t="n"/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 ht="30" customHeight="1">
      <c r="A1" s="1" t="inlineStr">
        <is>
          <t>Energrip C Pop Kd — plano de ativação (lançamento)</t>
        </is>
      </c>
      <c r="B1" s="2" t="n"/>
      <c r="C1" s="2" t="n"/>
      <c r="D1" s="2" t="n"/>
      <c r="E1" s="2" t="n"/>
      <c r="F1" s="2" t="n"/>
      <c r="G1" s="2" t="n"/>
    </row>
    <row r="2" ht="8" customHeight="1">
      <c r="A2" s="2" t="n"/>
      <c r="B2" s="2" t="n"/>
      <c r="C2" s="2" t="n"/>
      <c r="D2" s="2" t="n"/>
      <c r="E2" s="2" t="n"/>
      <c r="F2" s="2" t="n"/>
      <c r="G2" s="2" t="n"/>
    </row>
    <row r="4">
      <c r="A4" s="24" t="inlineStr">
        <is>
          <t>Produto de lançamento, sem histórico de venda consolidado — a cobertura de 7.920 e 3.195 dias apurada no dossiê (seções 12/17) é um artefato de dividir estoque de arranque por giro quase nulo, não um sinal de encalhe. Diferente do Forday (linha madura em queda), aqui o gargalo é ativação, não excesso de estoque. Por isso esta proposta NÃO aloca compra adicional para o Pop Kd — o estoque já comprado (741 un, R$ 27.847 a custo) é suficiente para lançar; o investimento vai para fazer girar.</t>
        </is>
      </c>
    </row>
    <row r="5"/>
    <row r="6"/>
    <row r="7"/>
    <row r="9">
      <c r="A9" s="4" t="inlineStr">
        <is>
          <t>Estoque atual da linha</t>
        </is>
      </c>
    </row>
    <row r="10" ht="26" customHeight="1">
      <c r="A10" s="14" t="inlineStr">
        <is>
          <t>SKU</t>
        </is>
      </c>
      <c r="B10" s="14" t="inlineStr">
        <is>
          <t>Custo Rep (R$/un)</t>
        </is>
      </c>
      <c r="C10" s="14" t="inlineStr">
        <is>
          <t>Estoque (un)</t>
        </is>
      </c>
      <c r="D10" s="14" t="inlineStr">
        <is>
          <t>Estoque (R$)</t>
        </is>
      </c>
      <c r="E10" s="14" t="inlineStr">
        <is>
          <t>Cobertura (DDE)</t>
        </is>
      </c>
      <c r="F10" s="14" t="inlineStr">
        <is>
          <t>Venda un/mês</t>
        </is>
      </c>
      <c r="G10" s="14" t="inlineStr">
        <is>
          <t>Leitura</t>
        </is>
      </c>
    </row>
    <row r="11">
      <c r="A11" s="25" t="inlineStr">
        <is>
          <t>Energrip C Pop Kd Laranja disp 500mg</t>
        </is>
      </c>
      <c r="B11" s="26" t="n">
        <v>37.58</v>
      </c>
      <c r="C11" s="16" t="n">
        <v>528</v>
      </c>
      <c r="D11" s="17">
        <f>B11*C11</f>
        <v/>
      </c>
      <c r="E11" s="27">
        <f>IF(F11&gt;0,C11/(F11/30),"—")</f>
        <v/>
      </c>
      <c r="F11" s="16" t="n">
        <v>3</v>
      </c>
      <c r="G11" s="18" t="inlineStr">
        <is>
          <t>7.920 d — 3 un/mês vendidas</t>
        </is>
      </c>
    </row>
    <row r="12">
      <c r="A12" s="29" t="inlineStr">
        <is>
          <t>Energrip C Pop Kd Morango disp 250mg</t>
        </is>
      </c>
      <c r="B12" s="30" t="n">
        <v>37.58</v>
      </c>
      <c r="C12" s="20" t="n">
        <v>213</v>
      </c>
      <c r="D12" s="21">
        <f>B12*C12</f>
        <v/>
      </c>
      <c r="E12" s="31">
        <f>IF(F12&gt;0,C12/(F12/30),"—")</f>
        <v/>
      </c>
      <c r="F12" s="20" t="n">
        <v>7</v>
      </c>
      <c r="G12" s="22" t="inlineStr">
        <is>
          <t>3.195 d — 7 un/mês vendidas</t>
        </is>
      </c>
    </row>
    <row r="13">
      <c r="A13" s="50" t="inlineStr">
        <is>
          <t>Total</t>
        </is>
      </c>
      <c r="B13" s="15" t="n"/>
      <c r="C13" s="16">
        <f>SUM(C11:C12)</f>
        <v/>
      </c>
      <c r="D13" s="51">
        <f>SUM(D11:D12)</f>
        <v/>
      </c>
      <c r="E13" s="15" t="n"/>
      <c r="F13" s="15" t="n"/>
      <c r="G13" s="15" t="n"/>
    </row>
    <row r="15">
      <c r="A15" s="4" t="inlineStr">
        <is>
          <t>Dimensionamento da ativação (premissas editáveis)</t>
        </is>
      </c>
    </row>
    <row r="16">
      <c r="A16" s="5" t="inlineStr">
        <is>
          <t>PDVs ativos EMEFARMA RJ (últ. mês fechado)</t>
        </is>
      </c>
      <c r="B16" s="32" t="n">
        <v>1834</v>
      </c>
    </row>
    <row r="17">
      <c r="A17" s="5" t="inlineStr">
        <is>
          <t>% de PDVs prioritários no lançamento (curva A/B)</t>
        </is>
      </c>
      <c r="B17" s="8" t="n">
        <v>0.2</v>
      </c>
    </row>
    <row r="18">
      <c r="A18" s="5" t="inlineStr">
        <is>
          <t>Custo de degustação/amostra por PDV (R$)</t>
        </is>
      </c>
      <c r="B18" s="6" t="n">
        <v>25</v>
      </c>
    </row>
    <row r="19">
      <c r="A19" s="5" t="inlineStr">
        <is>
          <t>Custo de material de exposição por PDV (R$)</t>
        </is>
      </c>
      <c r="B19" s="6" t="n">
        <v>18</v>
      </c>
    </row>
    <row r="20">
      <c r="A20" s="5" t="inlineStr">
        <is>
          <t>Incentivo à força de vendas (90 dias, R$)</t>
        </is>
      </c>
      <c r="B20" s="6" t="n">
        <v>5000</v>
      </c>
    </row>
    <row r="21">
      <c r="A21" s="5" t="inlineStr">
        <is>
          <t>Treinamento/briefing da equipe do distribuidor (R$)</t>
        </is>
      </c>
      <c r="B21" s="6" t="n">
        <v>2000</v>
      </c>
    </row>
    <row r="23">
      <c r="A23" s="5" t="inlineStr">
        <is>
          <t>PDVs prioritários (lançamento)</t>
        </is>
      </c>
      <c r="B23" s="16">
        <f>ROUND(B16*B17,0)</f>
        <v/>
      </c>
    </row>
    <row r="24">
      <c r="A24" s="5" t="inlineStr">
        <is>
          <t>Degustação/amostragem</t>
        </is>
      </c>
      <c r="B24" s="17">
        <f>B23*B18</f>
        <v/>
      </c>
    </row>
    <row r="25">
      <c r="A25" s="5" t="inlineStr">
        <is>
          <t>Material de exposição (display/wobbler)</t>
        </is>
      </c>
      <c r="B25" s="17">
        <f>B23*B19</f>
        <v/>
      </c>
    </row>
    <row r="26">
      <c r="A26" s="5" t="inlineStr">
        <is>
          <t>Incentivo à força de vendas</t>
        </is>
      </c>
      <c r="B26" s="17">
        <f>B20</f>
        <v/>
      </c>
    </row>
    <row r="27">
      <c r="A27" s="5" t="inlineStr">
        <is>
          <t>Treinamento/briefing</t>
        </is>
      </c>
      <c r="B27" s="17">
        <f>B21</f>
        <v/>
      </c>
    </row>
    <row r="28">
      <c r="A28" s="50" t="inlineStr">
        <is>
          <t>Total ativação Pop Kd</t>
        </is>
      </c>
      <c r="B28" s="51">
        <f>SUM(B24:B27)</f>
        <v/>
      </c>
    </row>
    <row r="30">
      <c r="A30" s="4" t="inlineStr">
        <is>
          <t>Checkpoint de performance</t>
        </is>
      </c>
    </row>
    <row r="31">
      <c r="A31" s="24" t="inlineStr">
        <is>
          <t>Revisão em 90 dias: se o giro da linha não atingir ao menos 60 un/mês combinadas (referência conservadora, ~4x o mix atual dos dois sabores), reavaliar sortimento por PDV antes de qualquer nova compra — não repetir o aporte automaticamente. Se atingir a meta, entra no próximo ciclo de reposição pelo mesmo modelo de DDE-alvo usado no restante da linha (aba Proposta_SKU).</t>
        </is>
      </c>
    </row>
    <row r="32"/>
    <row r="33"/>
    <row r="34"/>
  </sheetData>
  <mergeCells count="3">
    <mergeCell ref="A4:G7"/>
    <mergeCell ref="A31:G34"/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6" customWidth="1" min="3" max="3"/>
    <col width="46" customWidth="1" min="4" max="4"/>
    <col width="4" customWidth="1" min="5" max="5"/>
  </cols>
  <sheetData>
    <row r="1" ht="30" customHeight="1">
      <c r="A1" s="1" t="inlineStr">
        <is>
          <t>Ações complementares e investimento provisionado</t>
        </is>
      </c>
      <c r="B1" s="2" t="n"/>
      <c r="C1" s="2" t="n"/>
      <c r="D1" s="2" t="n"/>
    </row>
    <row r="2" ht="8" customHeight="1">
      <c r="A2" s="2" t="n"/>
      <c r="B2" s="2" t="n"/>
      <c r="C2" s="2" t="n"/>
      <c r="D2" s="2" t="n"/>
    </row>
    <row r="4">
      <c r="A4" s="24" t="inlineStr">
        <is>
          <t>Objetivo: dar ao distribuidor confiança de que o aporte de R$ 450 mil vai girar, não empilhar. Três frentes: (1) proteger o giro do que já vende bem e acabou de ser reforçado, (2) ativar o lançamento Energrip Pop Kd, e (3) uma reserva de contingência — giro garantido — caso alguma linha não performe como esperado.</t>
        </is>
      </c>
    </row>
    <row r="5"/>
    <row r="6"/>
    <row r="8">
      <c r="A8" s="4" t="inlineStr">
        <is>
          <t>Premissas (editáveis)</t>
        </is>
      </c>
    </row>
    <row r="9">
      <c r="A9" s="5" t="inlineStr">
        <is>
          <t>% giro pós-reforço sobre o aporte</t>
        </is>
      </c>
      <c r="B9" s="8" t="n">
        <v>0.05</v>
      </c>
    </row>
    <row r="10">
      <c r="A10" s="5" t="inlineStr">
        <is>
          <t>% contingência (giro garantido) sobre o aporte</t>
        </is>
      </c>
      <c r="B10" s="8" t="n">
        <v>0.05</v>
      </c>
    </row>
    <row r="12" ht="26" customHeight="1">
      <c r="A12" s="14" t="inlineStr">
        <is>
          <t>Ação</t>
        </is>
      </c>
      <c r="B12" s="14" t="inlineStr">
        <is>
          <t>Investimento (R$)</t>
        </is>
      </c>
      <c r="C12" s="14" t="inlineStr">
        <is>
          <t>Tipo</t>
        </is>
      </c>
      <c r="D12" s="14" t="inlineStr">
        <is>
          <t>Racional</t>
        </is>
      </c>
    </row>
    <row r="13">
      <c r="A13" s="15" t="inlineStr">
        <is>
          <t>Campanha de giro pós-reforço (SKUs replenished)</t>
        </is>
      </c>
      <c r="B13" s="17">
        <f>Resumo!B13*B9</f>
        <v/>
      </c>
      <c r="C13" s="18" t="inlineStr">
        <is>
          <t>Ativo</t>
        </is>
      </c>
      <c r="D13" s="18" t="inlineStr">
        <is>
          <t>Garante que o volume comprado saia do CD - checkout incentive/degustação nos PDVs que mais crescem.</t>
        </is>
      </c>
    </row>
    <row r="14">
      <c r="A14" s="19" t="inlineStr">
        <is>
          <t>Ativação Energrip C Pop Kd (lançamento)</t>
        </is>
      </c>
      <c r="B14" s="21">
        <f>Energrip_PopKd!B28</f>
        <v/>
      </c>
      <c r="C14" s="22" t="inlineStr">
        <is>
          <t>Ativo</t>
        </is>
      </c>
      <c r="D14" s="22" t="inlineStr">
        <is>
          <t>Detalhamento completo na aba Energrip_PopKd - degustação, display, incentivo, treinamento.</t>
        </is>
      </c>
    </row>
    <row r="15">
      <c r="A15" s="15" t="inlineStr">
        <is>
          <t>Reserva de contingência (giro garantido)</t>
        </is>
      </c>
      <c r="B15" s="17">
        <f>Resumo!B13*B10</f>
        <v/>
      </c>
      <c r="C15" s="18" t="inlineStr">
        <is>
          <t>Provisão</t>
        </is>
      </c>
      <c r="D15" s="18" t="inlineStr">
        <is>
          <t>Não é desembolso garantido - crédito/troca reservado se algum SKU reforçado não girar em 90 dias.</t>
        </is>
      </c>
    </row>
    <row r="17">
      <c r="A17" s="50" t="inlineStr">
        <is>
          <t>Total provisionado</t>
        </is>
      </c>
      <c r="B17" s="51">
        <f>SUM(B13:B15)</f>
        <v/>
      </c>
      <c r="C17" s="15" t="n"/>
      <c r="D17" s="15" t="n"/>
    </row>
    <row r="18">
      <c r="A18" s="5" t="inlineStr">
        <is>
          <t>% sobre o aporte de R$ 450 mil</t>
        </is>
      </c>
      <c r="B18" s="52">
        <f>B17/Resumo!B13</f>
        <v/>
      </c>
      <c r="C18" s="15" t="n"/>
      <c r="D18" s="15" t="n"/>
    </row>
  </sheetData>
  <mergeCells count="2">
    <mergeCell ref="A4:D6"/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2026-08-20T09:09:23Z</dcterms:created>
  <dcterms:modified xsi:type="dcterms:W3CDTF">2026-08-20T09:09:23Z</dcterms:modified>
</cp:coreProperties>
</file>